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 Inputs" sheetId="1" state="visible" r:id="rId3"/>
    <sheet name="Project Database" sheetId="2" state="visible" r:id="rId4"/>
    <sheet name="Project Notes" sheetId="3" state="visible" r:id="rId5"/>
    <sheet name="BSD Calculator" sheetId="4" state="visible" r:id="rId6"/>
  </sheets>
  <definedNames>
    <definedName function="false" hidden="true" localSheetId="1" name="_xlnm._FilterDatabase" vbProcedure="false">'Project Database'!$B$3:$Z$3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<sst xmlns="http://schemas.openxmlformats.org/spreadsheetml/2006/main" count="276" uniqueCount="232">
  <si>
    <t xml:space="preserve">GLOBAL ASSUMPTIONS — Change these to update all project calculations</t>
  </si>
  <si>
    <t xml:space="preserve">FINANCING</t>
  </si>
  <si>
    <t xml:space="preserve">Mortgage Rate (p.a.) — current fixed</t>
  </si>
  <si>
    <t xml:space="preserve">Current 3yr fixed rate. Update from bank quotes.</t>
  </si>
  <si>
    <t xml:space="preserve">Mortgage Rate (p.a.) — stress test</t>
  </si>
  <si>
    <t xml:space="preserve">MAS stress test rate for TDSR calculation.</t>
  </si>
  <si>
    <t xml:space="preserve">Mortgage Rate (p.a.) — investment analysis</t>
  </si>
  <si>
    <t xml:space="preserve">Rate used for investment carry calculations (expected avg over hold period).</t>
  </si>
  <si>
    <t xml:space="preserve">Loan Tenure (years)</t>
  </si>
  <si>
    <t xml:space="preserve">Standard 30yr for private properties.</t>
  </si>
  <si>
    <t xml:space="preserve">LTV Ratio — 1st property</t>
  </si>
  <si>
    <t xml:space="preserve">75% max — first residential property.</t>
  </si>
  <si>
    <t xml:space="preserve">LTV Ratio — 2nd property</t>
  </si>
  <si>
    <t xml:space="preserve">45% max — second residential property (with outstanding loan).</t>
  </si>
  <si>
    <t xml:space="preserve">STAMP DUTIES</t>
  </si>
  <si>
    <t xml:space="preserve">ABSD — SC 1st property</t>
  </si>
  <si>
    <t xml:space="preserve">0% for Singapore Citizen first property.</t>
  </si>
  <si>
    <t xml:space="preserve">ABSD — SC 2nd property</t>
  </si>
  <si>
    <t xml:space="preserve">20% for Singapore Citizen second property.</t>
  </si>
  <si>
    <t xml:space="preserve">ABSD — SC 3rd+ property</t>
  </si>
  <si>
    <t xml:space="preserve">35% for Singapore Citizen third and subsequent.</t>
  </si>
  <si>
    <t xml:space="preserve">ABSD — PR 1st property</t>
  </si>
  <si>
    <t xml:space="preserve">5% for PR first property.</t>
  </si>
  <si>
    <t xml:space="preserve">ABSD — PR 2nd+ property</t>
  </si>
  <si>
    <t xml:space="preserve">30% for PR second and subsequent.</t>
  </si>
  <si>
    <t xml:space="preserve">ABSD — Foreigner</t>
  </si>
  <si>
    <t xml:space="preserve">60% for foreigners (all properties).</t>
  </si>
  <si>
    <t xml:space="preserve">ACQUISITION COSTS</t>
  </si>
  <si>
    <t xml:space="preserve">Legal Fees (conveyancing)</t>
  </si>
  <si>
    <t xml:space="preserve">Typical conveyancing + stamp admin.</t>
  </si>
  <si>
    <t xml:space="preserve">Reno &amp; Furnishing (rental-ready)</t>
  </si>
  <si>
    <t xml:space="preserve">For investment properties. Set 0 for own-stay turnkey.</t>
  </si>
  <si>
    <t xml:space="preserve">Agent Commission — Purchase</t>
  </si>
  <si>
    <t xml:space="preserve">Buyer typically pays 0% in SG.</t>
  </si>
  <si>
    <t xml:space="preserve">Agent Commission — Sale</t>
  </si>
  <si>
    <t xml:space="preserve">1% of exit price.</t>
  </si>
  <si>
    <t xml:space="preserve">RENTAL &amp; TAX ASSUMPTIONS</t>
  </si>
  <si>
    <t xml:space="preserve">Occupancy Rate</t>
  </si>
  <si>
    <t xml:space="preserve">90% = ~1 month vacancy per year.</t>
  </si>
  <si>
    <t xml:space="preserve">AV as % of Gross Annual Rent</t>
  </si>
  <si>
    <t xml:space="preserve">IRAS Annual Value ~85% of market rent.</t>
  </si>
  <si>
    <t xml:space="preserve">Effective Property Tax Rate (NROC)</t>
  </si>
  <si>
    <t xml:space="preserve">~11% blended for AV range $40-55K (non-owner-occupied).</t>
  </si>
  <si>
    <t xml:space="preserve">Annual Rental Growth Rate</t>
  </si>
  <si>
    <t xml:space="preserve">Conservative 2% p.a.</t>
  </si>
  <si>
    <t xml:space="preserve">APPRECIATION ASSUMPTIONS (CAGR)</t>
  </si>
  <si>
    <t xml:space="preserve">Bear CAGR — Default</t>
  </si>
  <si>
    <t xml:space="preserve">Weak market floor. OCR condos ~1-2% historically.</t>
  </si>
  <si>
    <t xml:space="preserve">Base CAGR — Default</t>
  </si>
  <si>
    <t xml:space="preserve">Moderate growth. Adjust per project.</t>
  </si>
  <si>
    <t xml:space="preserve">Bull CAGR — Default</t>
  </si>
  <si>
    <t xml:space="preserve">Strong market / catalyst-driven. Adjust per project.</t>
  </si>
  <si>
    <t xml:space="preserve">INVESTOR TARGETS</t>
  </si>
  <si>
    <t xml:space="preserve">Target Equity IRR</t>
  </si>
  <si>
    <t xml:space="preserve">User target: 10%.</t>
  </si>
  <si>
    <t xml:space="preserve">Min Holding Period (years)</t>
  </si>
  <si>
    <t xml:space="preserve">SSD clears at 3yrs for private.</t>
  </si>
  <si>
    <t xml:space="preserve">Max Holding Period (years)</t>
  </si>
  <si>
    <t xml:space="preserve">Hard outer limit.</t>
  </si>
  <si>
    <t xml:space="preserve">PROJECT DATABASE — Singapore Residential Property · Semi-Automated Master</t>
  </si>
  <si>
    <t xml:space="preserve">Blue = Inputs (edit per project)</t>
  </si>
  <si>
    <t xml:space="preserve">Grey = Auto-calculated from inputs + Global Inputs</t>
  </si>
  <si>
    <t xml:space="preserve">Green = Cross-sheet reference</t>
  </si>
  <si>
    <t xml:space="preserve">#</t>
  </si>
  <si>
    <t xml:space="preserve">Project Name</t>
  </si>
  <si>
    <t xml:space="preserve">Priority</t>
  </si>
  <si>
    <t xml:space="preserve">District</t>
  </si>
  <si>
    <t xml:space="preserve">Area</t>
  </si>
  <si>
    <t xml:space="preserve">Type</t>
  </si>
  <si>
    <t xml:space="preserve">Bedrooms</t>
  </si>
  <si>
    <t xml:space="preserve">Size (sqft)</t>
  </si>
  <si>
    <t xml:space="preserve">Budget Min ($)</t>
  </si>
  <si>
    <t xml:space="preserve">Budget Max ($)</t>
  </si>
  <si>
    <t xml:space="preserve">Avg PSF ($)</t>
  </si>
  <si>
    <t xml:space="preserve">Monthly Rent ($)</t>
  </si>
  <si>
    <t xml:space="preserve">Tenure</t>
  </si>
  <si>
    <t xml:space="preserve">MRT Access</t>
  </si>
  <si>
    <t xml:space="preserve">Age / TOP</t>
  </si>
  <si>
    <t xml:space="preserve">Bear CAGR</t>
  </si>
  <si>
    <t xml:space="preserve">Base CAGR</t>
  </si>
  <si>
    <t xml:space="preserve">Bull CAGR</t>
  </si>
  <si>
    <t xml:space="preserve">Gross Yield</t>
  </si>
  <si>
    <t xml:space="preserve">Est. Monthly
Mortgage</t>
  </si>
  <si>
    <t xml:space="preserve">Est. Monthly
Carry</t>
  </si>
  <si>
    <t xml:space="preserve">Base Exit
Price (Yr5)</t>
  </si>
  <si>
    <t xml:space="preserve">Bull Exit
Price (Yr5)</t>
  </si>
  <si>
    <t xml:space="preserve">Tag / Strategy</t>
  </si>
  <si>
    <t xml:space="preserve">Last Updated</t>
  </si>
  <si>
    <t xml:space="preserve">Rivercove Residences</t>
  </si>
  <si>
    <t xml:space="preserve">PRIMARY</t>
  </si>
  <si>
    <t xml:space="preserve">D19</t>
  </si>
  <si>
    <t xml:space="preserve">Sengkang</t>
  </si>
  <si>
    <t xml:space="preserve">Post-MOP EC</t>
  </si>
  <si>
    <t xml:space="preserve">3BR/2BA</t>
  </si>
  <si>
    <t xml:space="preserve">904-958</t>
  </si>
  <si>
    <t xml:space="preserve">99yr</t>
  </si>
  <si>
    <t xml:space="preserve">Tongkang LRT → Sengkang NEL</t>
  </si>
  <si>
    <t xml:space="preserve">~6yr (TOP 2020)</t>
  </si>
  <si>
    <t xml:space="preserve">Capital Gain Play</t>
  </si>
  <si>
    <t xml:space="preserve">2026-04-04</t>
  </si>
  <si>
    <t xml:space="preserve">The Antares</t>
  </si>
  <si>
    <t xml:space="preserve">D14</t>
  </si>
  <si>
    <t xml:space="preserve">Mattar</t>
  </si>
  <si>
    <t xml:space="preserve">Private Resale</t>
  </si>
  <si>
    <t xml:space="preserve">2BR/2BA</t>
  </si>
  <si>
    <t xml:space="preserve">657-732</t>
  </si>
  <si>
    <t xml:space="preserve">Mattar DTL (1 min sheltered)</t>
  </si>
  <si>
    <t xml:space="preserve">~4yr (TOP 2022)</t>
  </si>
  <si>
    <t xml:space="preserve">Yield &amp; Carry Minimiser</t>
  </si>
  <si>
    <t xml:space="preserve">ECO at Bedok</t>
  </si>
  <si>
    <t xml:space="preserve">SECONDARY</t>
  </si>
  <si>
    <t xml:space="preserve">D16</t>
  </si>
  <si>
    <t xml:space="preserve">Bedok South</t>
  </si>
  <si>
    <t xml:space="preserve">700-850</t>
  </si>
  <si>
    <t xml:space="preserve">Tanah Merah EWL + Bedok South TEL</t>
  </si>
  <si>
    <t xml:space="preserve">~13yr (TOP 2013)</t>
  </si>
  <si>
    <t xml:space="preserve">Yield + TEL Catalyst</t>
  </si>
  <si>
    <t xml:space="preserve">Treasure at Tampines</t>
  </si>
  <si>
    <t xml:space="preserve">D18</t>
  </si>
  <si>
    <t xml:space="preserve">Tampines</t>
  </si>
  <si>
    <t xml:space="preserve">~700</t>
  </si>
  <si>
    <t xml:space="preserve">Tampines EWL/DTL (10 min walk)</t>
  </si>
  <si>
    <t xml:space="preserve">~3yr (TOP 2023)</t>
  </si>
  <si>
    <t xml:space="preserve">Liquidity &amp; Mainstream</t>
  </si>
  <si>
    <t xml:space="preserve">The Florence Residences</t>
  </si>
  <si>
    <t xml:space="preserve">Hougang/Kovan</t>
  </si>
  <si>
    <t xml:space="preserve">Hougang NEL (walking distance)</t>
  </si>
  <si>
    <t xml:space="preserve">D19 Private Alternative</t>
  </si>
  <si>
    <t xml:space="preserve">Wandervale EC</t>
  </si>
  <si>
    <t xml:space="preserve">MONITOR</t>
  </si>
  <si>
    <t xml:space="preserve">D23</t>
  </si>
  <si>
    <t xml:space="preserve">Choa Chu Kang</t>
  </si>
  <si>
    <t xml:space="preserve">950-1100</t>
  </si>
  <si>
    <t xml:space="preserve">Choa Chu Kang NSL (10 min walk)</t>
  </si>
  <si>
    <t xml:space="preserve">~7yr (MOP 2023)</t>
  </si>
  <si>
    <t xml:space="preserve">Value EC / JLD Optionality</t>
  </si>
  <si>
    <t xml:space="preserve">Twin Fountains / Bellewoods</t>
  </si>
  <si>
    <t xml:space="preserve">D25</t>
  </si>
  <si>
    <t xml:space="preserve">Woodlands</t>
  </si>
  <si>
    <t xml:space="preserve">1100-1250</t>
  </si>
  <si>
    <t xml:space="preserve">Admiralty NSL + Woodlands South TEL</t>
  </si>
  <si>
    <t xml:space="preserve">~9yr (TOP 2016/17)</t>
  </si>
  <si>
    <t xml:space="preserve">Yield + Privatisation</t>
  </si>
  <si>
    <t xml:space="preserve">Piermont Grand</t>
  </si>
  <si>
    <t xml:space="preserve">Punggol</t>
  </si>
  <si>
    <t xml:space="preserve">840+</t>
  </si>
  <si>
    <t xml:space="preserve">Sumang LRT → Punggol NEL</t>
  </si>
  <si>
    <t xml:space="preserve">PDD Play (Budget Stretch)</t>
  </si>
  <si>
    <t xml:space="preserve">Rivelle Tampines EC</t>
  </si>
  <si>
    <t xml:space="preserve">CONDITIONAL</t>
  </si>
  <si>
    <t xml:space="preserve">Tampines West</t>
  </si>
  <si>
    <t xml:space="preserve">New EC Launch</t>
  </si>
  <si>
    <t xml:space="preserve">2BR/3BR</t>
  </si>
  <si>
    <t xml:space="preserve">TBD</t>
  </si>
  <si>
    <t xml:space="preserve">Tampines West DTL (direct)</t>
  </si>
  <si>
    <t xml:space="preserve">New (TOP ~2029)</t>
  </si>
  <si>
    <t xml:space="preserve">EC First-Mover</t>
  </si>
  <si>
    <t xml:space="preserve">The Botany at Dairy Farm</t>
  </si>
  <si>
    <t xml:space="preserve">SPECULATIVE</t>
  </si>
  <si>
    <t xml:space="preserve">Dairy Farm</t>
  </si>
  <si>
    <t xml:space="preserve">Near-TOP Subsale</t>
  </si>
  <si>
    <t xml:space="preserve">650-750</t>
  </si>
  <si>
    <t xml:space="preserve">Hillview DTL (walk)</t>
  </si>
  <si>
    <t xml:space="preserve">New (TOP 2027)</t>
  </si>
  <si>
    <t xml:space="preserve">Lifestyle / Speculative</t>
  </si>
  <si>
    <t xml:space="preserve">PROJECT NOTES — Investment Thesis · Catalysts · Risks · Target Unit Spec</t>
  </si>
  <si>
    <t xml:space="preserve">Project</t>
  </si>
  <si>
    <t xml:space="preserve">Investment Thesis</t>
  </si>
  <si>
    <t xml:space="preserve">Key Catalysts</t>
  </si>
  <si>
    <t xml:space="preserve">Key Risks</t>
  </si>
  <si>
    <t xml:space="preserve">Target Unit Specification</t>
  </si>
  <si>
    <t xml:space="preserve">Rivercove Residences
D19 · Post-MOP EC
[PRIMARY]</t>
  </si>
  <si>
    <t xml:space="preserve">Freshly MOP'd Oct 2025. EC-to-private price gap fully intact. Waterfront on Punggol Reservoir. Hundred Palms trajectory is the template.</t>
  </si>
  <si>
    <t xml:space="preserve">EC price discovery phase
Waterfront reservoir facing
PDD adjacency
School cluster</t>
  </si>
  <si>
    <t xml:space="preserve">LRT dependency (not direct MRT)
D19 supply pipeline
3.0% yield = higher carry</t>
  </si>
  <si>
    <t xml:space="preserve">Mid-floor 5F-10F, reservoir/greenery facing, 3BR Type A 904 sqft. Max $1,580 psf.</t>
  </si>
  <si>
    <t xml:space="preserve">The Antares
D14 · Private Resale
[PRIMARY]</t>
  </si>
  <si>
    <t xml:space="preserve">Highest yield on shortlist. Sheltered 1-min walk to Mattar MRT DTL. Paya Lebar, Bidadari, Geylang rezoning — three macro catalysts converge.</t>
  </si>
  <si>
    <t xml:space="preserve">Mattar MRT DTL direct
Paya Lebar Regional Centre
Bidadari transformation
Geylang rezoning</t>
  </si>
  <si>
    <t xml:space="preserve">Small unit 657 sqft
Story partially priced at $2,067 psf
Limited capital gain vs EC plays</t>
  </si>
  <si>
    <t xml:space="preserve">657 sqft 2BR mid-high floor, quiet-facing. ~$1.35-1.38M. Best carry minimiser.</t>
  </si>
  <si>
    <t xml:space="preserve">ECO at Bedok
D16 · Private Resale
[SECONDARY]</t>
  </si>
  <si>
    <t xml:space="preserve">Most material finding. TEL Bedok South confirmed 2026 — dual-line access. D16 PSF rose 44.4% (2020-2025). Best yield-per-dollar with budget headroom.</t>
  </si>
  <si>
    <t xml:space="preserve">TEL Bedok South opening 2026
Dual-line MRT access
Mature estate
Large HDB upgrader pool</t>
  </si>
  <si>
    <t xml:space="preserve">13yr old at purchase — 17-19yr at exit
Buyer financing may tighten
Lower capital gain ceiling</t>
  </si>
  <si>
    <t xml:space="preserve">2BR 667-850 sqft, mid-floor, park/greenery facing. Buy below $1,550 psf.</t>
  </si>
  <si>
    <t xml:space="preserve">Treasure at Tampines
D18 · Private Resale
[SECONDARY]</t>
  </si>
  <si>
    <t xml:space="preserve">Deepest resale liquidity — 170 units transacted 2025. Changi Business Park tenant base. Newer stock, broad buyer pool.</t>
  </si>
  <si>
    <t xml:space="preserve">Highest transaction liquidity
Changi Biz Park demand
Tampines Regional Hub
Newer 2023 product</t>
  </si>
  <si>
    <t xml:space="preserve">2,200 units = heavy internal competition
10-min walk to MRT
Yield below best-in-class</t>
  </si>
  <si>
    <t xml:space="preserve">2BR mid-floor, pool/greenery facing (not carpark). Stack and facing critical.</t>
  </si>
  <si>
    <t xml:space="preserve">The Florence Residences
D19 · Private Resale
[SECONDARY]</t>
  </si>
  <si>
    <t xml:space="preserve">Newer private in D19 with Hougang MRT NEL direct. Same district demand as Rivercove without EC price discovery upside.</t>
  </si>
  <si>
    <t xml:space="preserve">D19 demand fundamentals
Hougang MRT NEL direct
Newer 2022 product
CRL future benefit</t>
  </si>
  <si>
    <t xml:space="preserve">1,410 units = significant competition
No EC price gap catalyst
Lower yield</t>
  </si>
  <si>
    <t xml:space="preserve">2BR mid-floor, well-facing stack. Avoid ground floor and carpark. Budget $1.20-1.38M.</t>
  </si>
  <si>
    <t xml:space="preserve">Wandervale EC
D23 · Post-MOP EC
[MONITOR]</t>
  </si>
  <si>
    <t xml:space="preserve">Lower-profile post-MOP EC with NSL connectivity to JLD. Less competitive buying = more negotiation room.</t>
  </si>
  <si>
    <t xml:space="preserve">NSL → JLD employment hub
EC value gap to private
Negotiable entry
Family 3BR</t>
  </si>
  <si>
    <t xml:space="preserve">JLD is 10yr story not 4-6yr
Weaker rental submarket
Limited professional tenant pool</t>
  </si>
  <si>
    <t xml:space="preserve">3BR 950+ sqft, mid-floor, greenery facing. Target below $1,380 psf.</t>
  </si>
  <si>
    <t xml:space="preserve">Twin Fountains / Bellewoods
D25 · Post-MOP EC
[MONITOR]</t>
  </si>
  <si>
    <t xml:space="preserve">Highest yield (~3.5-4.0%). Twin Fountains privatises 2026. RTS Link targeted end-2026. New EC launches at $1,750-2,000 psf create $400-700 gap.</t>
  </si>
  <si>
    <t xml:space="preserve">Privatisation 2026
RTS Link end-2026
New EC benchmarks $1,800+ psf
Woodlands transformation</t>
  </si>
  <si>
    <t xml:space="preserve">Suppressed private ceiling in D25
Thin exit buyer pool
9yr aging stock
RTS timing risk</t>
  </si>
  <si>
    <t xml:space="preserve">3BR 1,100+ sqft, mid-floor, non-carpark. Buy below $1,300 psf. Best: motivated post-privatisation seller.</t>
  </si>
  <si>
    <t xml:space="preserve">Piermont Grand
D19 · Post-MOP EC
[MONITOR]</t>
  </si>
  <si>
    <t xml:space="preserve">Best physical product in Punggol — waterway-fronting, PDD adjacent, CDL. First PDD hotel confirmed 2026-27. Borderline above budget.</t>
  </si>
  <si>
    <t xml:space="preserve">PDD first hotel 2026-2027
Waterway-fronting premium
SIT campus tenant base
CDL developer quality</t>
  </si>
  <si>
    <t xml:space="preserve">Above $1.4M budget at market
LRT dependency
Large Punggol supply
3BR+ only = narrow pool</t>
  </si>
  <si>
    <t xml:space="preserve">3BR 840 sqft, waterway/reservoir facing, mid-floor. Buy only at/below $1,700 psf (~$1.43M).</t>
  </si>
  <si>
    <t xml:space="preserve">Rivelle Tampines EC
D18 · New EC Launch
[CONDITIONAL]</t>
  </si>
  <si>
    <t xml:space="preserve">First-mover EC play — buy at launch, hold through MOP, exit as privatised condo. Same thesis as Hundred Palms. Requires strict EC eligibility.</t>
  </si>
  <si>
    <t xml:space="preserve">EC-to-private gap at launch
CRL Tampines North
Tampines West emerging
First large dev in area</t>
  </si>
  <si>
    <t xml:space="preserve">5yr MOP lock-in
EC eligibility rules — verify
TOP 2029-2030
Budget tight for 3BR</t>
  </si>
  <si>
    <t xml:space="preserve">Only if EC eligible. 2BR for budget control. Do not purchase without verifying all conditions.</t>
  </si>
  <si>
    <t xml:space="preserve">The Botany at Dairy Farm
D23 · Near-TOP Subsale
[SPECULATIVE]</t>
  </si>
  <si>
    <t xml:space="preserve">Near-TOP subsale near nature. Dairy Farm is differentiated. Investment thesis weak; lifestyle thesis strong. Only if priced right.</t>
  </si>
  <si>
    <t xml:space="preserve">New product at subsale discount
Nature/greenery differentiation
Hillview DTL
Near-TOP — no wait</t>
  </si>
  <si>
    <t xml:space="preserve">Narrow tenant pool
D23 supply glut incoming
Limited resale liquidity
Speculative pricing</t>
  </si>
  <si>
    <t xml:space="preserve">Only if subsale below $1,800 psf. Not core investment — lifestyle play.</t>
  </si>
  <si>
    <t xml:space="preserve">BSD CALCULATOR — Enter purchase price, get BSD</t>
  </si>
  <si>
    <t xml:space="preserve">Purchase Price (S$)</t>
  </si>
  <si>
    <t xml:space="preserve">Bracket</t>
  </si>
  <si>
    <t xml:space="preserve">BSD Amount</t>
  </si>
  <si>
    <t xml:space="preserve">First $180,000 @ 1%</t>
  </si>
  <si>
    <t xml:space="preserve">Next $180,000 @ 2%</t>
  </si>
  <si>
    <t xml:space="preserve">Next $640,000 @ 3%</t>
  </si>
  <si>
    <t xml:space="preserve">Next $500,000 @ 4%</t>
  </si>
  <si>
    <t xml:space="preserve">Next $1,500,000 @ 5%</t>
  </si>
  <si>
    <t xml:space="preserve">Above $3,000,000 @ 6%</t>
  </si>
  <si>
    <t xml:space="preserve">TOTAL BSD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</si>
</sst>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%"/>
    <numFmt numFmtId="167" formatCode="0%"/>
    <numFmt numFmtId="168" formatCode="\$#,##0"/>
    <numFmt numFmtId="169" formatCode="\$#,##0;&quot;($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0F4C8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923"/>
        <bgColor rgb="FF000000"/>
      </patternFill>
    </fill>
    <fill>
      <patternFill patternType="solid">
        <fgColor rgb="FFE8F1FA"/>
        <bgColor rgb="FFF2F2F2"/>
      </patternFill>
    </fill>
    <fill>
      <patternFill patternType="solid">
        <fgColor rgb="FFD6EAF8"/>
        <bgColor rgb="FFE8F1FA"/>
      </patternFill>
    </fill>
    <fill>
      <patternFill patternType="solid">
        <fgColor rgb="FF1A3A5C"/>
        <bgColor rgb="FF0F4C81"/>
      </patternFill>
    </fill>
    <fill>
      <patternFill patternType="solid">
        <fgColor rgb="FFF2F2F2"/>
        <bgColor rgb="FFE8F1FA"/>
      </patternFill>
    </fill>
    <fill>
      <patternFill patternType="solid">
        <fgColor rgb="FFE8F5E9"/>
        <bgColor rgb="FFE8F1FA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3A5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F1FA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F1923"/>
      <rgbColor rgb="FF333300"/>
      <rgbColor rgb="FF993300"/>
      <rgbColor rgb="FF993366"/>
      <rgbColor rgb="FF0F4C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50"/>
    <col collapsed="false" customWidth="true" hidden="false" outlineLevel="0" max="5" min="5" style="1" width="3"/>
  </cols>
  <sheetData>
    <row r="1" customFormat="false" ht="36" hidden="false" customHeight="true" outlineLevel="0" collapsed="false">
      <c r="A1" s="2"/>
      <c r="B1" s="3" t="s">
        <v>0</v>
      </c>
      <c r="C1" s="2"/>
      <c r="D1" s="2"/>
      <c r="E1" s="2"/>
    </row>
    <row r="3" customFormat="false" ht="15" hidden="false" customHeight="true" outlineLevel="0" collapsed="false">
      <c r="B3" s="4" t="s">
        <v>1</v>
      </c>
      <c r="C3" s="5"/>
      <c r="D3" s="5"/>
    </row>
    <row r="4" customFormat="false" ht="15" hidden="false" customHeight="true" outlineLevel="0" collapsed="false">
      <c r="B4" s="6" t="s">
        <v>2</v>
      </c>
      <c r="C4" s="7" t="n">
        <v>0.015</v>
      </c>
      <c r="D4" s="8" t="s">
        <v>3</v>
      </c>
    </row>
    <row r="5" customFormat="false" ht="15" hidden="false" customHeight="true" outlineLevel="0" collapsed="false">
      <c r="B5" s="6" t="s">
        <v>4</v>
      </c>
      <c r="C5" s="7" t="n">
        <v>0.04</v>
      </c>
      <c r="D5" s="8" t="s">
        <v>5</v>
      </c>
    </row>
    <row r="6" customFormat="false" ht="15" hidden="false" customHeight="true" outlineLevel="0" collapsed="false">
      <c r="B6" s="6" t="s">
        <v>6</v>
      </c>
      <c r="C6" s="7" t="n">
        <v>0.038</v>
      </c>
      <c r="D6" s="8" t="s">
        <v>7</v>
      </c>
    </row>
    <row r="7" customFormat="false" ht="15" hidden="false" customHeight="true" outlineLevel="0" collapsed="false">
      <c r="B7" s="6" t="s">
        <v>8</v>
      </c>
      <c r="C7" s="9" t="n">
        <v>30</v>
      </c>
      <c r="D7" s="8" t="s">
        <v>9</v>
      </c>
    </row>
    <row r="8" customFormat="false" ht="15" hidden="false" customHeight="true" outlineLevel="0" collapsed="false">
      <c r="B8" s="6" t="s">
        <v>10</v>
      </c>
      <c r="C8" s="10" t="n">
        <v>0.75</v>
      </c>
      <c r="D8" s="8" t="s">
        <v>11</v>
      </c>
    </row>
    <row r="9" customFormat="false" ht="15" hidden="false" customHeight="true" outlineLevel="0" collapsed="false">
      <c r="B9" s="6" t="s">
        <v>12</v>
      </c>
      <c r="C9" s="10" t="n">
        <v>0.45</v>
      </c>
      <c r="D9" s="8" t="s">
        <v>13</v>
      </c>
    </row>
    <row r="11" customFormat="false" ht="15" hidden="false" customHeight="true" outlineLevel="0" collapsed="false">
      <c r="B11" s="4" t="s">
        <v>14</v>
      </c>
      <c r="C11" s="5"/>
      <c r="D11" s="5"/>
    </row>
    <row r="12" customFormat="false" ht="15" hidden="false" customHeight="true" outlineLevel="0" collapsed="false">
      <c r="B12" s="6" t="s">
        <v>15</v>
      </c>
      <c r="C12" s="11" t="n">
        <v>0</v>
      </c>
      <c r="D12" s="8" t="s">
        <v>16</v>
      </c>
    </row>
    <row r="13" customFormat="false" ht="15" hidden="false" customHeight="true" outlineLevel="0" collapsed="false">
      <c r="B13" s="6" t="s">
        <v>17</v>
      </c>
      <c r="C13" s="11" t="n">
        <v>0.2</v>
      </c>
      <c r="D13" s="8" t="s">
        <v>18</v>
      </c>
    </row>
    <row r="14" customFormat="false" ht="15" hidden="false" customHeight="true" outlineLevel="0" collapsed="false">
      <c r="B14" s="6" t="s">
        <v>19</v>
      </c>
      <c r="C14" s="11" t="n">
        <v>0.35</v>
      </c>
      <c r="D14" s="8" t="s">
        <v>20</v>
      </c>
    </row>
    <row r="15" customFormat="false" ht="15" hidden="false" customHeight="true" outlineLevel="0" collapsed="false">
      <c r="B15" s="6" t="s">
        <v>21</v>
      </c>
      <c r="C15" s="11" t="n">
        <v>0.05</v>
      </c>
      <c r="D15" s="8" t="s">
        <v>22</v>
      </c>
    </row>
    <row r="16" customFormat="false" ht="15" hidden="false" customHeight="true" outlineLevel="0" collapsed="false">
      <c r="B16" s="6" t="s">
        <v>23</v>
      </c>
      <c r="C16" s="11" t="n">
        <v>0.3</v>
      </c>
      <c r="D16" s="8" t="s">
        <v>24</v>
      </c>
    </row>
    <row r="17" customFormat="false" ht="15" hidden="false" customHeight="true" outlineLevel="0" collapsed="false">
      <c r="B17" s="6" t="s">
        <v>25</v>
      </c>
      <c r="C17" s="11" t="n">
        <v>0.6</v>
      </c>
      <c r="D17" s="8" t="s">
        <v>26</v>
      </c>
    </row>
    <row r="19" customFormat="false" ht="15" hidden="false" customHeight="true" outlineLevel="0" collapsed="false">
      <c r="B19" s="4" t="s">
        <v>27</v>
      </c>
      <c r="C19" s="5"/>
      <c r="D19" s="5"/>
    </row>
    <row r="20" customFormat="false" ht="15" hidden="false" customHeight="true" outlineLevel="0" collapsed="false">
      <c r="B20" s="6" t="s">
        <v>28</v>
      </c>
      <c r="C20" s="12" t="n">
        <v>3800</v>
      </c>
      <c r="D20" s="8" t="s">
        <v>29</v>
      </c>
    </row>
    <row r="21" customFormat="false" ht="15" hidden="false" customHeight="true" outlineLevel="0" collapsed="false">
      <c r="B21" s="6" t="s">
        <v>30</v>
      </c>
      <c r="C21" s="12" t="n">
        <v>20000</v>
      </c>
      <c r="D21" s="8" t="s">
        <v>31</v>
      </c>
    </row>
    <row r="22" customFormat="false" ht="15" hidden="false" customHeight="true" outlineLevel="0" collapsed="false">
      <c r="B22" s="6" t="s">
        <v>32</v>
      </c>
      <c r="C22" s="10" t="n">
        <v>0</v>
      </c>
      <c r="D22" s="8" t="s">
        <v>33</v>
      </c>
    </row>
    <row r="23" customFormat="false" ht="15" hidden="false" customHeight="true" outlineLevel="0" collapsed="false">
      <c r="B23" s="6" t="s">
        <v>34</v>
      </c>
      <c r="C23" s="10" t="n">
        <v>0.01</v>
      </c>
      <c r="D23" s="8" t="s">
        <v>35</v>
      </c>
    </row>
    <row r="25" customFormat="false" ht="15" hidden="false" customHeight="true" outlineLevel="0" collapsed="false">
      <c r="B25" s="4" t="s">
        <v>36</v>
      </c>
      <c r="C25" s="5"/>
      <c r="D25" s="5"/>
    </row>
    <row r="26" customFormat="false" ht="15" hidden="false" customHeight="true" outlineLevel="0" collapsed="false">
      <c r="B26" s="6" t="s">
        <v>37</v>
      </c>
      <c r="C26" s="11" t="n">
        <v>0.9</v>
      </c>
      <c r="D26" s="8" t="s">
        <v>38</v>
      </c>
    </row>
    <row r="27" customFormat="false" ht="15" hidden="false" customHeight="true" outlineLevel="0" collapsed="false">
      <c r="B27" s="6" t="s">
        <v>39</v>
      </c>
      <c r="C27" s="11" t="n">
        <v>0.85</v>
      </c>
      <c r="D27" s="8" t="s">
        <v>40</v>
      </c>
    </row>
    <row r="28" customFormat="false" ht="15" hidden="false" customHeight="true" outlineLevel="0" collapsed="false">
      <c r="B28" s="6" t="s">
        <v>41</v>
      </c>
      <c r="C28" s="10" t="n">
        <v>0.11</v>
      </c>
      <c r="D28" s="8" t="s">
        <v>42</v>
      </c>
    </row>
    <row r="29" customFormat="false" ht="15" hidden="false" customHeight="true" outlineLevel="0" collapsed="false">
      <c r="B29" s="6" t="s">
        <v>43</v>
      </c>
      <c r="C29" s="10" t="n">
        <v>0.02</v>
      </c>
      <c r="D29" s="8" t="s">
        <v>44</v>
      </c>
    </row>
    <row r="31" customFormat="false" ht="15" hidden="false" customHeight="true" outlineLevel="0" collapsed="false">
      <c r="B31" s="4" t="s">
        <v>45</v>
      </c>
      <c r="C31" s="5"/>
      <c r="D31" s="5"/>
    </row>
    <row r="32" customFormat="false" ht="15" hidden="false" customHeight="true" outlineLevel="0" collapsed="false">
      <c r="B32" s="6" t="s">
        <v>46</v>
      </c>
      <c r="C32" s="10" t="n">
        <v>0.02</v>
      </c>
      <c r="D32" s="8" t="s">
        <v>47</v>
      </c>
    </row>
    <row r="33" customFormat="false" ht="15" hidden="false" customHeight="true" outlineLevel="0" collapsed="false">
      <c r="B33" s="6" t="s">
        <v>48</v>
      </c>
      <c r="C33" s="10" t="n">
        <v>0.04</v>
      </c>
      <c r="D33" s="8" t="s">
        <v>49</v>
      </c>
    </row>
    <row r="34" customFormat="false" ht="15" hidden="false" customHeight="true" outlineLevel="0" collapsed="false">
      <c r="B34" s="6" t="s">
        <v>50</v>
      </c>
      <c r="C34" s="10" t="n">
        <v>0.06</v>
      </c>
      <c r="D34" s="8" t="s">
        <v>51</v>
      </c>
    </row>
    <row r="36" customFormat="false" ht="15" hidden="false" customHeight="true" outlineLevel="0" collapsed="false">
      <c r="B36" s="4" t="s">
        <v>52</v>
      </c>
      <c r="C36" s="5"/>
      <c r="D36" s="5"/>
    </row>
    <row r="37" customFormat="false" ht="15" hidden="false" customHeight="true" outlineLevel="0" collapsed="false">
      <c r="B37" s="6" t="s">
        <v>53</v>
      </c>
      <c r="C37" s="10" t="n">
        <v>0.1</v>
      </c>
      <c r="D37" s="8" t="s">
        <v>54</v>
      </c>
    </row>
    <row r="38" customFormat="false" ht="15" hidden="false" customHeight="true" outlineLevel="0" collapsed="false">
      <c r="B38" s="6" t="s">
        <v>55</v>
      </c>
      <c r="C38" s="9" t="n">
        <v>4</v>
      </c>
      <c r="D38" s="8" t="s">
        <v>56</v>
      </c>
    </row>
    <row r="39" customFormat="false" ht="15" hidden="false" customHeight="true" outlineLevel="0" collapsed="false">
      <c r="B39" s="6" t="s">
        <v>57</v>
      </c>
      <c r="C39" s="9" t="n">
        <v>6</v>
      </c>
      <c r="D39" s="8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8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1" min="10" style="1" width="14"/>
    <col collapsed="false" customWidth="true" hidden="false" outlineLevel="0" max="12" min="12" style="1" width="10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24"/>
    <col collapsed="false" customWidth="true" hidden="false" outlineLevel="0" max="16" min="16" style="1" width="12"/>
    <col collapsed="false" customWidth="true" hidden="false" outlineLevel="0" max="19" min="17" style="1" width="10"/>
    <col collapsed="false" customWidth="true" hidden="false" outlineLevel="0" max="24" min="20" style="1" width="14"/>
    <col collapsed="false" customWidth="true" hidden="false" outlineLevel="0" max="25" min="25" style="1" width="20"/>
    <col collapsed="false" customWidth="true" hidden="false" outlineLevel="0" max="26" min="26" style="1" width="14"/>
  </cols>
  <sheetData>
    <row r="1" customFormat="false" ht="36" hidden="false" customHeight="true" outlineLevel="0" collapsed="false">
      <c r="A1" s="2"/>
      <c r="B1" s="3" t="s">
        <v>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B2" s="13" t="s">
        <v>60</v>
      </c>
      <c r="F2" s="14" t="s">
        <v>61</v>
      </c>
      <c r="L2" s="15" t="s">
        <v>62</v>
      </c>
    </row>
    <row r="3" customFormat="false" ht="31.5" hidden="false" customHeight="true" outlineLevel="0" collapsed="false">
      <c r="B3" s="16" t="s">
        <v>63</v>
      </c>
      <c r="C3" s="16" t="s">
        <v>64</v>
      </c>
      <c r="D3" s="16" t="s">
        <v>65</v>
      </c>
      <c r="E3" s="16" t="s">
        <v>66</v>
      </c>
      <c r="F3" s="16" t="s">
        <v>67</v>
      </c>
      <c r="G3" s="16" t="s">
        <v>68</v>
      </c>
      <c r="H3" s="16" t="s">
        <v>69</v>
      </c>
      <c r="I3" s="16" t="s">
        <v>70</v>
      </c>
      <c r="J3" s="16" t="s">
        <v>71</v>
      </c>
      <c r="K3" s="16" t="s">
        <v>72</v>
      </c>
      <c r="L3" s="16" t="s">
        <v>73</v>
      </c>
      <c r="M3" s="16" t="s">
        <v>74</v>
      </c>
      <c r="N3" s="16" t="s">
        <v>75</v>
      </c>
      <c r="O3" s="16" t="s">
        <v>76</v>
      </c>
      <c r="P3" s="16" t="s">
        <v>77</v>
      </c>
      <c r="Q3" s="16" t="s">
        <v>78</v>
      </c>
      <c r="R3" s="16" t="s">
        <v>79</v>
      </c>
      <c r="S3" s="16" t="s">
        <v>80</v>
      </c>
      <c r="T3" s="16" t="s">
        <v>81</v>
      </c>
      <c r="U3" s="16" t="s">
        <v>82</v>
      </c>
      <c r="V3" s="16" t="s">
        <v>83</v>
      </c>
      <c r="W3" s="16" t="s">
        <v>84</v>
      </c>
      <c r="X3" s="16" t="s">
        <v>85</v>
      </c>
      <c r="Y3" s="16" t="s">
        <v>86</v>
      </c>
      <c r="Z3" s="16" t="s">
        <v>87</v>
      </c>
    </row>
    <row r="4" customFormat="false" ht="23.25" hidden="false" customHeight="true" outlineLevel="0" collapsed="false">
      <c r="B4" s="17" t="n">
        <v>1</v>
      </c>
      <c r="C4" s="17" t="s">
        <v>88</v>
      </c>
      <c r="D4" s="17" t="s">
        <v>89</v>
      </c>
      <c r="E4" s="17" t="s">
        <v>90</v>
      </c>
      <c r="F4" s="17" t="s">
        <v>91</v>
      </c>
      <c r="G4" s="17" t="s">
        <v>92</v>
      </c>
      <c r="H4" s="17" t="s">
        <v>93</v>
      </c>
      <c r="I4" s="17" t="s">
        <v>94</v>
      </c>
      <c r="J4" s="18" t="n">
        <v>1350000</v>
      </c>
      <c r="K4" s="18" t="n">
        <v>1430000</v>
      </c>
      <c r="L4" s="18" t="n">
        <v>1615</v>
      </c>
      <c r="M4" s="18" t="n">
        <v>3800</v>
      </c>
      <c r="N4" s="19" t="s">
        <v>95</v>
      </c>
      <c r="O4" s="20" t="s">
        <v>96</v>
      </c>
      <c r="P4" s="19" t="s">
        <v>97</v>
      </c>
      <c r="Q4" s="21" t="n">
        <v>0.02</v>
      </c>
      <c r="R4" s="21" t="n">
        <v>0.04</v>
      </c>
      <c r="S4" s="21" t="n">
        <v>0.06</v>
      </c>
      <c r="T4" s="22" t="n">
        <f aca="false">IF(M4&gt;0,(M4*12)/((J4+K4)/2),"-")</f>
        <v>0.0328057553956835</v>
      </c>
      <c r="U4" s="23" t="n">
        <f aca="false">-PMT('Global Inputs'!C6/12,'Global Inputs'!C7*12,(J4+K4)/2*'Global Inputs'!C8)</f>
        <v>4857.60538411841</v>
      </c>
      <c r="V4" s="24" t="n">
        <f aca="false">IF(M4&gt;0,M4*'Global Inputs'!C26-U4-380-M4*'Global Inputs'!C27*'Global Inputs'!C28,"-")</f>
        <v>-2172.90538411841</v>
      </c>
      <c r="W4" s="25" t="n">
        <f aca="false">(J4+K4)/2*(1+R4)^5</f>
        <v>1691147.534336</v>
      </c>
      <c r="X4" s="25" t="n">
        <f aca="false">(J4+K4)/2*(1+S4)^5</f>
        <v>1860133.552864</v>
      </c>
      <c r="Y4" s="6" t="s">
        <v>98</v>
      </c>
      <c r="Z4" s="8" t="s">
        <v>99</v>
      </c>
    </row>
    <row r="5" customFormat="false" ht="15" hidden="false" customHeight="true" outlineLevel="0" collapsed="false">
      <c r="B5" s="17" t="n">
        <v>2</v>
      </c>
      <c r="C5" s="17" t="s">
        <v>100</v>
      </c>
      <c r="D5" s="17" t="s">
        <v>89</v>
      </c>
      <c r="E5" s="17" t="s">
        <v>101</v>
      </c>
      <c r="F5" s="17" t="s">
        <v>102</v>
      </c>
      <c r="G5" s="17" t="s">
        <v>103</v>
      </c>
      <c r="H5" s="17" t="s">
        <v>104</v>
      </c>
      <c r="I5" s="17" t="s">
        <v>105</v>
      </c>
      <c r="J5" s="18" t="n">
        <v>1350000</v>
      </c>
      <c r="K5" s="18" t="n">
        <v>1400000</v>
      </c>
      <c r="L5" s="18" t="n">
        <v>2067</v>
      </c>
      <c r="M5" s="18" t="n">
        <v>4200</v>
      </c>
      <c r="N5" s="19" t="s">
        <v>95</v>
      </c>
      <c r="O5" s="20" t="s">
        <v>106</v>
      </c>
      <c r="P5" s="19" t="s">
        <v>107</v>
      </c>
      <c r="Q5" s="21" t="n">
        <v>0.015</v>
      </c>
      <c r="R5" s="21" t="n">
        <v>0.035</v>
      </c>
      <c r="S5" s="21" t="n">
        <v>0.05</v>
      </c>
      <c r="T5" s="22" t="n">
        <f aca="false">IF(M5&gt;0,(M5*12)/((J5+K5)/2),"-")</f>
        <v>0.0366545454545455</v>
      </c>
      <c r="U5" s="23" t="n">
        <f aca="false">-PMT('Global Inputs'!C6/12,'Global Inputs'!C7*12,(J5+K5)/2*'Global Inputs'!C8)</f>
        <v>4805.18518213152</v>
      </c>
      <c r="V5" s="24" t="n">
        <f aca="false">IF(M5&gt;0,M5*'Global Inputs'!C26-U5-380-M5*'Global Inputs'!C27*'Global Inputs'!C28,"-")</f>
        <v>-1797.88518213152</v>
      </c>
      <c r="W5" s="25" t="n">
        <f aca="false">(J5+K5)/2*(1+R5)^5</f>
        <v>1633068.67026445</v>
      </c>
      <c r="X5" s="25" t="n">
        <f aca="false">(J5+K5)/2*(1+S5)^5</f>
        <v>1754887.1484375</v>
      </c>
      <c r="Y5" s="6" t="s">
        <v>108</v>
      </c>
      <c r="Z5" s="8" t="s">
        <v>99</v>
      </c>
    </row>
    <row r="6" customFormat="false" ht="23.25" hidden="false" customHeight="true" outlineLevel="0" collapsed="false">
      <c r="B6" s="17" t="n">
        <v>3</v>
      </c>
      <c r="C6" s="17" t="s">
        <v>109</v>
      </c>
      <c r="D6" s="17" t="s">
        <v>110</v>
      </c>
      <c r="E6" s="17" t="s">
        <v>111</v>
      </c>
      <c r="F6" s="17" t="s">
        <v>112</v>
      </c>
      <c r="G6" s="17" t="s">
        <v>103</v>
      </c>
      <c r="H6" s="17" t="s">
        <v>104</v>
      </c>
      <c r="I6" s="17" t="s">
        <v>113</v>
      </c>
      <c r="J6" s="18" t="n">
        <v>1080000</v>
      </c>
      <c r="K6" s="18" t="n">
        <v>1340000</v>
      </c>
      <c r="L6" s="18" t="n">
        <v>1549</v>
      </c>
      <c r="M6" s="18" t="n">
        <v>3900</v>
      </c>
      <c r="N6" s="19" t="s">
        <v>95</v>
      </c>
      <c r="O6" s="20" t="s">
        <v>114</v>
      </c>
      <c r="P6" s="19" t="s">
        <v>115</v>
      </c>
      <c r="Q6" s="21" t="n">
        <v>0.02</v>
      </c>
      <c r="R6" s="21" t="n">
        <v>0.038</v>
      </c>
      <c r="S6" s="21" t="n">
        <v>0.05</v>
      </c>
      <c r="T6" s="22" t="n">
        <f aca="false">IF(M6&gt;0,(M6*12)/((J6+K6)/2),"-")</f>
        <v>0.0386776859504132</v>
      </c>
      <c r="U6" s="23" t="n">
        <f aca="false">-PMT('Global Inputs'!C6/12,'Global Inputs'!C7*12,(J6+K6)/2*'Global Inputs'!C8)</f>
        <v>4228.56296027574</v>
      </c>
      <c r="V6" s="24" t="n">
        <f aca="false">IF(M6&gt;0,M6*'Global Inputs'!C26-U6-380-M6*'Global Inputs'!C27*'Global Inputs'!C28,"-")</f>
        <v>-1463.21296027574</v>
      </c>
      <c r="W6" s="25" t="n">
        <f aca="false">(J6+K6)/2*(1+R6)^5</f>
        <v>1458049.06214735</v>
      </c>
      <c r="X6" s="25" t="n">
        <f aca="false">(J6+K6)/2*(1+S6)^5</f>
        <v>1544300.690625</v>
      </c>
      <c r="Y6" s="6" t="s">
        <v>116</v>
      </c>
      <c r="Z6" s="8" t="s">
        <v>99</v>
      </c>
    </row>
    <row r="7" customFormat="false" ht="23.25" hidden="false" customHeight="true" outlineLevel="0" collapsed="false">
      <c r="B7" s="17" t="n">
        <v>4</v>
      </c>
      <c r="C7" s="17" t="s">
        <v>117</v>
      </c>
      <c r="D7" s="17" t="s">
        <v>110</v>
      </c>
      <c r="E7" s="17" t="s">
        <v>118</v>
      </c>
      <c r="F7" s="17" t="s">
        <v>119</v>
      </c>
      <c r="G7" s="17" t="s">
        <v>103</v>
      </c>
      <c r="H7" s="17" t="s">
        <v>104</v>
      </c>
      <c r="I7" s="17" t="s">
        <v>120</v>
      </c>
      <c r="J7" s="18" t="n">
        <v>1190000</v>
      </c>
      <c r="K7" s="18" t="n">
        <v>1270000</v>
      </c>
      <c r="L7" s="18" t="n">
        <v>1700</v>
      </c>
      <c r="M7" s="18" t="n">
        <v>3600</v>
      </c>
      <c r="N7" s="19" t="s">
        <v>95</v>
      </c>
      <c r="O7" s="20" t="s">
        <v>121</v>
      </c>
      <c r="P7" s="19" t="s">
        <v>122</v>
      </c>
      <c r="Q7" s="21" t="n">
        <v>0.015</v>
      </c>
      <c r="R7" s="21" t="n">
        <v>0.035</v>
      </c>
      <c r="S7" s="21" t="n">
        <v>0.045</v>
      </c>
      <c r="T7" s="22" t="n">
        <f aca="false">IF(M7&gt;0,(M7*12)/((J7+K7)/2),"-")</f>
        <v>0.0351219512195122</v>
      </c>
      <c r="U7" s="23" t="n">
        <f aca="false">-PMT('Global Inputs'!C6/12,'Global Inputs'!C7*12,(J7+K7)/2*'Global Inputs'!C8)</f>
        <v>4298.45656292492</v>
      </c>
      <c r="V7" s="24" t="n">
        <f aca="false">IF(M7&gt;0,M7*'Global Inputs'!C26-U7-380-M7*'Global Inputs'!C27*'Global Inputs'!C28,"-")</f>
        <v>-1775.05656292492</v>
      </c>
      <c r="W7" s="25" t="n">
        <f aca="false">(J7+K7)/2*(1+R7)^5</f>
        <v>1460854.15594566</v>
      </c>
      <c r="X7" s="25" t="n">
        <f aca="false">(J7+K7)/2*(1+S7)^5</f>
        <v>1532803.78331334</v>
      </c>
      <c r="Y7" s="6" t="s">
        <v>123</v>
      </c>
      <c r="Z7" s="8" t="s">
        <v>99</v>
      </c>
    </row>
    <row r="8" customFormat="false" ht="23.25" hidden="false" customHeight="true" outlineLevel="0" collapsed="false">
      <c r="B8" s="17" t="n">
        <v>5</v>
      </c>
      <c r="C8" s="17" t="s">
        <v>124</v>
      </c>
      <c r="D8" s="17" t="s">
        <v>110</v>
      </c>
      <c r="E8" s="17" t="s">
        <v>90</v>
      </c>
      <c r="F8" s="17" t="s">
        <v>125</v>
      </c>
      <c r="G8" s="17" t="s">
        <v>103</v>
      </c>
      <c r="H8" s="17" t="s">
        <v>104</v>
      </c>
      <c r="I8" s="17" t="s">
        <v>120</v>
      </c>
      <c r="J8" s="18" t="n">
        <v>1200000</v>
      </c>
      <c r="K8" s="18" t="n">
        <v>1400000</v>
      </c>
      <c r="L8" s="18" t="n">
        <v>1800</v>
      </c>
      <c r="M8" s="18" t="n">
        <v>3500</v>
      </c>
      <c r="N8" s="19" t="s">
        <v>95</v>
      </c>
      <c r="O8" s="20" t="s">
        <v>126</v>
      </c>
      <c r="P8" s="19" t="s">
        <v>107</v>
      </c>
      <c r="Q8" s="21" t="n">
        <v>0.015</v>
      </c>
      <c r="R8" s="21" t="n">
        <v>0.035</v>
      </c>
      <c r="S8" s="21" t="n">
        <v>0.05</v>
      </c>
      <c r="T8" s="22" t="n">
        <f aca="false">IF(M8&gt;0,(M8*12)/((J8+K8)/2),"-")</f>
        <v>0.0323076923076923</v>
      </c>
      <c r="U8" s="23" t="n">
        <f aca="false">-PMT('Global Inputs'!C6/12,'Global Inputs'!C7*12,(J8+K8)/2*'Global Inputs'!C8)</f>
        <v>4543.08417219707</v>
      </c>
      <c r="V8" s="24" t="n">
        <f aca="false">IF(M8&gt;0,M8*'Global Inputs'!C26-U8-380-M8*'Global Inputs'!C27*'Global Inputs'!C28,"-")</f>
        <v>-2100.33417219707</v>
      </c>
      <c r="W8" s="25" t="n">
        <f aca="false">(J8+K8)/2*(1+R8)^5</f>
        <v>1543992.19734094</v>
      </c>
      <c r="X8" s="25" t="n">
        <f aca="false">(J8+K8)/2*(1+S8)^5</f>
        <v>1659166.03125</v>
      </c>
      <c r="Y8" s="6" t="s">
        <v>127</v>
      </c>
      <c r="Z8" s="8" t="s">
        <v>99</v>
      </c>
    </row>
    <row r="9" customFormat="false" ht="23.25" hidden="false" customHeight="true" outlineLevel="0" collapsed="false">
      <c r="B9" s="17" t="n">
        <v>6</v>
      </c>
      <c r="C9" s="17" t="s">
        <v>128</v>
      </c>
      <c r="D9" s="17" t="s">
        <v>129</v>
      </c>
      <c r="E9" s="17" t="s">
        <v>130</v>
      </c>
      <c r="F9" s="17" t="s">
        <v>131</v>
      </c>
      <c r="G9" s="17" t="s">
        <v>92</v>
      </c>
      <c r="H9" s="17" t="s">
        <v>93</v>
      </c>
      <c r="I9" s="17" t="s">
        <v>132</v>
      </c>
      <c r="J9" s="18" t="n">
        <v>1250000</v>
      </c>
      <c r="K9" s="18" t="n">
        <v>1400000</v>
      </c>
      <c r="L9" s="18" t="n">
        <v>1375</v>
      </c>
      <c r="M9" s="18" t="n">
        <v>3500</v>
      </c>
      <c r="N9" s="19" t="s">
        <v>95</v>
      </c>
      <c r="O9" s="20" t="s">
        <v>133</v>
      </c>
      <c r="P9" s="19" t="s">
        <v>134</v>
      </c>
      <c r="Q9" s="21" t="n">
        <v>0.015</v>
      </c>
      <c r="R9" s="21" t="n">
        <v>0.03</v>
      </c>
      <c r="S9" s="21" t="n">
        <v>0.04</v>
      </c>
      <c r="T9" s="22" t="n">
        <f aca="false">IF(M9&gt;0,(M9*12)/((J9+K9)/2),"-")</f>
        <v>0.0316981132075472</v>
      </c>
      <c r="U9" s="23" t="n">
        <f aca="false">-PMT('Global Inputs'!C6/12,'Global Inputs'!C7*12,(J9+K9)/2*'Global Inputs'!C8)</f>
        <v>4630.45117550855</v>
      </c>
      <c r="V9" s="24" t="n">
        <f aca="false">IF(M9&gt;0,M9*'Global Inputs'!C26-U9-380-M9*'Global Inputs'!C27*'Global Inputs'!C28,"-")</f>
        <v>-2187.70117550855</v>
      </c>
      <c r="W9" s="25" t="n">
        <f aca="false">(J9+K9)/2*(1+R9)^5</f>
        <v>1536038.1484475</v>
      </c>
      <c r="X9" s="25" t="n">
        <f aca="false">(J9+K9)/2*(1+S9)^5</f>
        <v>1612065.09568</v>
      </c>
      <c r="Y9" s="6" t="s">
        <v>135</v>
      </c>
      <c r="Z9" s="8" t="s">
        <v>99</v>
      </c>
    </row>
    <row r="10" customFormat="false" ht="23.25" hidden="false" customHeight="true" outlineLevel="0" collapsed="false">
      <c r="B10" s="17" t="n">
        <v>7</v>
      </c>
      <c r="C10" s="17" t="s">
        <v>136</v>
      </c>
      <c r="D10" s="17" t="s">
        <v>129</v>
      </c>
      <c r="E10" s="17" t="s">
        <v>137</v>
      </c>
      <c r="F10" s="17" t="s">
        <v>138</v>
      </c>
      <c r="G10" s="17" t="s">
        <v>92</v>
      </c>
      <c r="H10" s="17" t="s">
        <v>93</v>
      </c>
      <c r="I10" s="17" t="s">
        <v>139</v>
      </c>
      <c r="J10" s="18" t="n">
        <v>1200000</v>
      </c>
      <c r="K10" s="18" t="n">
        <v>1450000</v>
      </c>
      <c r="L10" s="18" t="n">
        <v>1325</v>
      </c>
      <c r="M10" s="18" t="n">
        <v>3800</v>
      </c>
      <c r="N10" s="19" t="s">
        <v>95</v>
      </c>
      <c r="O10" s="20" t="s">
        <v>140</v>
      </c>
      <c r="P10" s="19" t="s">
        <v>141</v>
      </c>
      <c r="Q10" s="21" t="n">
        <v>0.015</v>
      </c>
      <c r="R10" s="21" t="n">
        <v>0.03</v>
      </c>
      <c r="S10" s="21" t="n">
        <v>0.045</v>
      </c>
      <c r="T10" s="22" t="n">
        <f aca="false">IF(M10&gt;0,(M10*12)/((J10+K10)/2),"-")</f>
        <v>0.0344150943396226</v>
      </c>
      <c r="U10" s="23" t="n">
        <f aca="false">-PMT('Global Inputs'!C6/12,'Global Inputs'!C7*12,(J10+K10)/2*'Global Inputs'!C8)</f>
        <v>4630.45117550855</v>
      </c>
      <c r="V10" s="24" t="n">
        <f aca="false">IF(M10&gt;0,M10*'Global Inputs'!C26-U10-380-M10*'Global Inputs'!C27*'Global Inputs'!C28,"-")</f>
        <v>-1945.75117550855</v>
      </c>
      <c r="W10" s="25" t="n">
        <f aca="false">(J10+K10)/2*(1+R10)^5</f>
        <v>1536038.1484475</v>
      </c>
      <c r="X10" s="25" t="n">
        <f aca="false">(J10+K10)/2*(1+S10)^5</f>
        <v>1651191.06739039</v>
      </c>
      <c r="Y10" s="6" t="s">
        <v>142</v>
      </c>
      <c r="Z10" s="8" t="s">
        <v>99</v>
      </c>
    </row>
    <row r="11" customFormat="false" ht="23.25" hidden="false" customHeight="true" outlineLevel="0" collapsed="false">
      <c r="B11" s="17" t="n">
        <v>8</v>
      </c>
      <c r="C11" s="17" t="s">
        <v>143</v>
      </c>
      <c r="D11" s="17" t="s">
        <v>129</v>
      </c>
      <c r="E11" s="17" t="s">
        <v>90</v>
      </c>
      <c r="F11" s="17" t="s">
        <v>144</v>
      </c>
      <c r="G11" s="17" t="s">
        <v>92</v>
      </c>
      <c r="H11" s="17" t="s">
        <v>93</v>
      </c>
      <c r="I11" s="17" t="s">
        <v>145</v>
      </c>
      <c r="J11" s="18" t="n">
        <v>1430000</v>
      </c>
      <c r="K11" s="18" t="n">
        <v>1500000</v>
      </c>
      <c r="L11" s="18" t="n">
        <v>1735</v>
      </c>
      <c r="M11" s="18" t="n">
        <v>3600</v>
      </c>
      <c r="N11" s="19" t="s">
        <v>95</v>
      </c>
      <c r="O11" s="20" t="s">
        <v>146</v>
      </c>
      <c r="P11" s="19" t="s">
        <v>122</v>
      </c>
      <c r="Q11" s="21" t="n">
        <v>0.02</v>
      </c>
      <c r="R11" s="21" t="n">
        <v>0.04</v>
      </c>
      <c r="S11" s="21" t="n">
        <v>0.06</v>
      </c>
      <c r="T11" s="22" t="n">
        <f aca="false">IF(M11&gt;0,(M11*12)/((J11+K11)/2),"-")</f>
        <v>0.0294880546075085</v>
      </c>
      <c r="U11" s="23" t="n">
        <f aca="false">-PMT('Global Inputs'!C6/12,'Global Inputs'!C7*12,(J11+K11)/2*'Global Inputs'!C8)</f>
        <v>5119.70639405285</v>
      </c>
      <c r="V11" s="24" t="n">
        <f aca="false">IF(M11&gt;0,M11*'Global Inputs'!C26-U11-380-M11*'Global Inputs'!C27*'Global Inputs'!C28,"-")</f>
        <v>-2596.30639405285</v>
      </c>
      <c r="W11" s="25" t="n">
        <f aca="false">(J11+K11)/2*(1+R11)^5</f>
        <v>1782396.502016</v>
      </c>
      <c r="X11" s="25" t="n">
        <f aca="false">(J11+K11)/2*(1+S11)^5</f>
        <v>1960500.471184</v>
      </c>
      <c r="Y11" s="6" t="s">
        <v>147</v>
      </c>
      <c r="Z11" s="8" t="s">
        <v>99</v>
      </c>
    </row>
    <row r="12" customFormat="false" ht="15" hidden="false" customHeight="true" outlineLevel="0" collapsed="false">
      <c r="B12" s="17" t="n">
        <v>9</v>
      </c>
      <c r="C12" s="17" t="s">
        <v>148</v>
      </c>
      <c r="D12" s="17" t="s">
        <v>149</v>
      </c>
      <c r="E12" s="17" t="s">
        <v>118</v>
      </c>
      <c r="F12" s="17" t="s">
        <v>150</v>
      </c>
      <c r="G12" s="17" t="s">
        <v>151</v>
      </c>
      <c r="H12" s="17" t="s">
        <v>152</v>
      </c>
      <c r="I12" s="17" t="s">
        <v>153</v>
      </c>
      <c r="J12" s="18" t="n">
        <v>1300000</v>
      </c>
      <c r="K12" s="18" t="n">
        <v>1580000</v>
      </c>
      <c r="L12" s="18" t="n">
        <v>1796</v>
      </c>
      <c r="M12" s="18" t="n">
        <v>0</v>
      </c>
      <c r="N12" s="19" t="s">
        <v>95</v>
      </c>
      <c r="O12" s="20" t="s">
        <v>154</v>
      </c>
      <c r="P12" s="19" t="s">
        <v>155</v>
      </c>
      <c r="Q12" s="21" t="n">
        <v>0.03</v>
      </c>
      <c r="R12" s="21" t="n">
        <v>0.045</v>
      </c>
      <c r="S12" s="21" t="n">
        <v>0.06</v>
      </c>
      <c r="T12" s="22" t="str">
        <f aca="false">IF(M12&gt;0,(M12*12)/((J12+K12)/2),"-")</f>
        <v>-</v>
      </c>
      <c r="U12" s="23" t="n">
        <f aca="false">-PMT('Global Inputs'!C6/12,'Global Inputs'!C7*12,(J12+K12)/2*'Global Inputs'!C8)</f>
        <v>5032.33939074137</v>
      </c>
      <c r="V12" s="24" t="str">
        <f aca="false">IF(M12&gt;0,M12*'Global Inputs'!C26-U12-380-M12*'Global Inputs'!C27*'Global Inputs'!C28,"-")</f>
        <v>-</v>
      </c>
      <c r="W12" s="25" t="n">
        <f aca="false">(J12+K12)/2*(1+R12)^5</f>
        <v>1794501.9902205</v>
      </c>
      <c r="X12" s="25" t="n">
        <f aca="false">(J12+K12)/2*(1+S12)^5</f>
        <v>1927044.831744</v>
      </c>
      <c r="Y12" s="6" t="s">
        <v>156</v>
      </c>
      <c r="Z12" s="8" t="s">
        <v>99</v>
      </c>
    </row>
    <row r="13" customFormat="false" ht="15" hidden="false" customHeight="true" outlineLevel="0" collapsed="false">
      <c r="B13" s="17" t="n">
        <v>10</v>
      </c>
      <c r="C13" s="17" t="s">
        <v>157</v>
      </c>
      <c r="D13" s="17" t="s">
        <v>158</v>
      </c>
      <c r="E13" s="17" t="s">
        <v>130</v>
      </c>
      <c r="F13" s="17" t="s">
        <v>159</v>
      </c>
      <c r="G13" s="17" t="s">
        <v>160</v>
      </c>
      <c r="H13" s="17" t="s">
        <v>104</v>
      </c>
      <c r="I13" s="17" t="s">
        <v>161</v>
      </c>
      <c r="J13" s="18" t="n">
        <v>1200000</v>
      </c>
      <c r="K13" s="18" t="n">
        <v>1380000</v>
      </c>
      <c r="L13" s="18" t="n">
        <v>1950</v>
      </c>
      <c r="M13" s="18" t="n">
        <v>3000</v>
      </c>
      <c r="N13" s="19" t="s">
        <v>95</v>
      </c>
      <c r="O13" s="20" t="s">
        <v>162</v>
      </c>
      <c r="P13" s="19" t="s">
        <v>163</v>
      </c>
      <c r="Q13" s="21" t="n">
        <v>0.01</v>
      </c>
      <c r="R13" s="21" t="n">
        <v>0.025</v>
      </c>
      <c r="S13" s="21" t="n">
        <v>0.04</v>
      </c>
      <c r="T13" s="22" t="n">
        <f aca="false">IF(M13&gt;0,(M13*12)/((J13+K13)/2),"-")</f>
        <v>0.027906976744186</v>
      </c>
      <c r="U13" s="23" t="n">
        <f aca="false">-PMT('Global Inputs'!C6/12,'Global Inputs'!C7*12,(J13+K13)/2*'Global Inputs'!C8)</f>
        <v>4508.13737087248</v>
      </c>
      <c r="V13" s="24" t="n">
        <f aca="false">IF(M13&gt;0,M13*'Global Inputs'!C26-U13-380-M13*'Global Inputs'!C27*'Global Inputs'!C28,"-")</f>
        <v>-2468.63737087248</v>
      </c>
      <c r="W13" s="25" t="n">
        <f aca="false">(J13+K13)/2*(1+R13)^5</f>
        <v>1459516.59462891</v>
      </c>
      <c r="X13" s="25" t="n">
        <f aca="false">(J13+K13)/2*(1+S13)^5</f>
        <v>1569482.244096</v>
      </c>
      <c r="Y13" s="6" t="s">
        <v>164</v>
      </c>
      <c r="Z13" s="8" t="s">
        <v>99</v>
      </c>
    </row>
  </sheetData>
  <autoFilter ref="B3:Z3"/>
  <dataValidations count="1">
    <dataValidation allowBlank="true" errorStyle="stop" operator="between" showDropDown="false" showErrorMessage="false" showInputMessage="false" sqref="D4:D13" type="list">
      <formula1>"PRIMARY,SECONDARY,MONITOR,CONDITIONAL,SPECULATIVE"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5" min="4" style="1" width="40"/>
    <col collapsed="false" customWidth="true" hidden="false" outlineLevel="0" max="6" min="6" style="1" width="35"/>
  </cols>
  <sheetData>
    <row r="1" customFormat="false" ht="36" hidden="false" customHeight="true" outlineLevel="0" collapsed="false">
      <c r="A1" s="2"/>
      <c r="B1" s="3" t="s">
        <v>165</v>
      </c>
      <c r="C1" s="2"/>
      <c r="D1" s="2"/>
      <c r="E1" s="2"/>
      <c r="F1" s="2"/>
    </row>
    <row r="3" customFormat="false" ht="27.75" hidden="false" customHeight="true" outlineLevel="0" collapsed="false">
      <c r="A3" s="16" t="s">
        <v>63</v>
      </c>
      <c r="B3" s="16" t="s">
        <v>166</v>
      </c>
      <c r="C3" s="16" t="s">
        <v>167</v>
      </c>
      <c r="D3" s="16" t="s">
        <v>168</v>
      </c>
      <c r="E3" s="16" t="s">
        <v>169</v>
      </c>
      <c r="F3" s="16" t="s">
        <v>170</v>
      </c>
    </row>
    <row r="4" customFormat="false" ht="79.5" hidden="false" customHeight="true" outlineLevel="0" collapsed="false">
      <c r="A4" s="26" t="n">
        <v>1</v>
      </c>
      <c r="B4" s="26" t="s">
        <v>171</v>
      </c>
      <c r="C4" s="20" t="s">
        <v>172</v>
      </c>
      <c r="D4" s="20" t="s">
        <v>173</v>
      </c>
      <c r="E4" s="20" t="s">
        <v>174</v>
      </c>
      <c r="F4" s="20" t="s">
        <v>175</v>
      </c>
    </row>
    <row r="5" customFormat="false" ht="79.5" hidden="false" customHeight="true" outlineLevel="0" collapsed="false">
      <c r="A5" s="26" t="n">
        <v>2</v>
      </c>
      <c r="B5" s="26" t="s">
        <v>176</v>
      </c>
      <c r="C5" s="20" t="s">
        <v>177</v>
      </c>
      <c r="D5" s="20" t="s">
        <v>178</v>
      </c>
      <c r="E5" s="20" t="s">
        <v>179</v>
      </c>
      <c r="F5" s="20" t="s">
        <v>180</v>
      </c>
    </row>
    <row r="6" customFormat="false" ht="79.5" hidden="false" customHeight="true" outlineLevel="0" collapsed="false">
      <c r="A6" s="26" t="n">
        <v>3</v>
      </c>
      <c r="B6" s="26" t="s">
        <v>181</v>
      </c>
      <c r="C6" s="20" t="s">
        <v>182</v>
      </c>
      <c r="D6" s="20" t="s">
        <v>183</v>
      </c>
      <c r="E6" s="20" t="s">
        <v>184</v>
      </c>
      <c r="F6" s="20" t="s">
        <v>185</v>
      </c>
    </row>
    <row r="7" customFormat="false" ht="79.5" hidden="false" customHeight="true" outlineLevel="0" collapsed="false">
      <c r="A7" s="26" t="n">
        <v>4</v>
      </c>
      <c r="B7" s="26" t="s">
        <v>186</v>
      </c>
      <c r="C7" s="20" t="s">
        <v>187</v>
      </c>
      <c r="D7" s="20" t="s">
        <v>188</v>
      </c>
      <c r="E7" s="20" t="s">
        <v>189</v>
      </c>
      <c r="F7" s="20" t="s">
        <v>190</v>
      </c>
    </row>
    <row r="8" customFormat="false" ht="79.5" hidden="false" customHeight="true" outlineLevel="0" collapsed="false">
      <c r="A8" s="26" t="n">
        <v>5</v>
      </c>
      <c r="B8" s="26" t="s">
        <v>191</v>
      </c>
      <c r="C8" s="20" t="s">
        <v>192</v>
      </c>
      <c r="D8" s="20" t="s">
        <v>193</v>
      </c>
      <c r="E8" s="20" t="s">
        <v>194</v>
      </c>
      <c r="F8" s="20" t="s">
        <v>195</v>
      </c>
    </row>
    <row r="9" customFormat="false" ht="79.5" hidden="false" customHeight="true" outlineLevel="0" collapsed="false">
      <c r="A9" s="26" t="n">
        <v>6</v>
      </c>
      <c r="B9" s="26" t="s">
        <v>196</v>
      </c>
      <c r="C9" s="20" t="s">
        <v>197</v>
      </c>
      <c r="D9" s="20" t="s">
        <v>198</v>
      </c>
      <c r="E9" s="20" t="s">
        <v>199</v>
      </c>
      <c r="F9" s="20" t="s">
        <v>200</v>
      </c>
    </row>
    <row r="10" customFormat="false" ht="79.5" hidden="false" customHeight="true" outlineLevel="0" collapsed="false">
      <c r="A10" s="26" t="n">
        <v>7</v>
      </c>
      <c r="B10" s="26" t="s">
        <v>201</v>
      </c>
      <c r="C10" s="20" t="s">
        <v>202</v>
      </c>
      <c r="D10" s="20" t="s">
        <v>203</v>
      </c>
      <c r="E10" s="20" t="s">
        <v>204</v>
      </c>
      <c r="F10" s="20" t="s">
        <v>205</v>
      </c>
    </row>
    <row r="11" customFormat="false" ht="79.5" hidden="false" customHeight="true" outlineLevel="0" collapsed="false">
      <c r="A11" s="26" t="n">
        <v>8</v>
      </c>
      <c r="B11" s="26" t="s">
        <v>206</v>
      </c>
      <c r="C11" s="20" t="s">
        <v>207</v>
      </c>
      <c r="D11" s="20" t="s">
        <v>208</v>
      </c>
      <c r="E11" s="20" t="s">
        <v>209</v>
      </c>
      <c r="F11" s="20" t="s">
        <v>210</v>
      </c>
    </row>
    <row r="12" customFormat="false" ht="79.5" hidden="false" customHeight="true" outlineLevel="0" collapsed="false">
      <c r="A12" s="26" t="n">
        <v>9</v>
      </c>
      <c r="B12" s="26" t="s">
        <v>211</v>
      </c>
      <c r="C12" s="20" t="s">
        <v>212</v>
      </c>
      <c r="D12" s="20" t="s">
        <v>213</v>
      </c>
      <c r="E12" s="20" t="s">
        <v>214</v>
      </c>
      <c r="F12" s="20" t="s">
        <v>215</v>
      </c>
    </row>
    <row r="13" customFormat="false" ht="79.5" hidden="false" customHeight="true" outlineLevel="0" collapsed="false">
      <c r="A13" s="26" t="n">
        <v>10</v>
      </c>
      <c r="B13" s="26" t="s">
        <v>216</v>
      </c>
      <c r="C13" s="20" t="s">
        <v>217</v>
      </c>
      <c r="D13" s="20" t="s">
        <v>218</v>
      </c>
      <c r="E13" s="20" t="s">
        <v>219</v>
      </c>
      <c r="F13" s="20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40"/>
  </cols>
  <sheetData>
    <row r="1" customFormat="false" ht="15.75" hidden="false" customHeight="true" outlineLevel="0" collapsed="false">
      <c r="A1" s="2"/>
      <c r="B1" s="3" t="s">
        <v>221</v>
      </c>
      <c r="C1" s="2"/>
      <c r="D1" s="2"/>
    </row>
    <row r="3" customFormat="false" ht="15" hidden="false" customHeight="true" outlineLevel="0" collapsed="false">
      <c r="B3" s="27" t="s">
        <v>222</v>
      </c>
      <c r="C3" s="28" t="n">
        <v>1380000</v>
      </c>
    </row>
    <row r="5" customFormat="false" ht="15" hidden="false" customHeight="true" outlineLevel="0" collapsed="false">
      <c r="B5" s="27" t="s">
        <v>223</v>
      </c>
      <c r="C5" s="27" t="s">
        <v>224</v>
      </c>
    </row>
    <row r="6" customFormat="false" ht="15" hidden="false" customHeight="true" outlineLevel="0" collapsed="false">
      <c r="B6" s="29" t="s">
        <v>225</v>
      </c>
      <c r="C6" s="30" t="n">
        <f aca="false">MIN(C3,180000)*0.01</f>
        <v>1800</v>
      </c>
    </row>
    <row r="7" customFormat="false" ht="15" hidden="false" customHeight="true" outlineLevel="0" collapsed="false">
      <c r="B7" s="29" t="s">
        <v>226</v>
      </c>
      <c r="C7" s="30" t="n">
        <f aca="false">MIN(MAX(C3-180000,0),180000)*0.02</f>
        <v>3600</v>
      </c>
    </row>
    <row r="8" customFormat="false" ht="15" hidden="false" customHeight="true" outlineLevel="0" collapsed="false">
      <c r="B8" s="29" t="s">
        <v>227</v>
      </c>
      <c r="C8" s="30" t="n">
        <f aca="false">MIN(MAX(C3-360000,0),640000)*0.03</f>
        <v>19200</v>
      </c>
    </row>
    <row r="9" customFormat="false" ht="15" hidden="false" customHeight="true" outlineLevel="0" collapsed="false">
      <c r="B9" s="29" t="s">
        <v>228</v>
      </c>
      <c r="C9" s="30" t="n">
        <f aca="false">MIN(MAX(C3-1000000,0),500000)*0.04</f>
        <v>15200</v>
      </c>
    </row>
    <row r="10" customFormat="false" ht="15" hidden="false" customHeight="true" outlineLevel="0" collapsed="false">
      <c r="B10" s="29" t="s">
        <v>229</v>
      </c>
      <c r="C10" s="30" t="n">
        <f aca="false">MIN(MAX(C3-1500000,0),1500000)*0.05</f>
        <v>0</v>
      </c>
    </row>
    <row r="11" customFormat="false" ht="15" hidden="false" customHeight="true" outlineLevel="0" collapsed="false">
      <c r="B11" s="29" t="s">
        <v>230</v>
      </c>
      <c r="C11" s="30" t="n">
        <f aca="false">MAX(C3-3000000,0)*0.06</f>
        <v>0</v>
      </c>
    </row>
    <row r="13" customFormat="false" ht="15" hidden="false" customHeight="true" outlineLevel="0" collapsed="false">
      <c r="B13" s="27" t="s">
        <v>231</v>
      </c>
      <c r="C13" s="31" t="n">
        <f aca="false">SUM(C6:C11)</f>
        <v>39800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2026-04-04T03:34:36Z</dcterms:created>
  <dc:creator>openpyxl</dc:creator>
  <dc:description/>
  <dc:language>en-US</dc:language>
  <cp:lastModifiedBy/>
  <dcterms:modified xsi:type="dcterms:W3CDTF">2026-04-04T03:35:07Z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