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lient Profile" sheetId="2" state="visible" r:id="rId4"/>
    <sheet name="Scenario Comparison" sheetId="3" state="visible" r:id="rId5"/>
    <sheet name="Property Shortlist" sheetId="4" state="visible" r:id="rId6"/>
    <sheet name="Deep Dive — Riverco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<sst xmlns="http://schemas.openxmlformats.org/spreadsheetml/2006/main" count="249" uniqueCount="194">
  <si>
    <t xml:space="preserve">SG RESIDENTIAL PROPERTY · CONSULTATION REPORT 2026</t>
  </si>
  <si>
    <t xml:space="preserve">Property Consultation Report</t>
  </si>
  <si>
    <t xml:space="preserve">Client Name</t>
  </si>
  <si>
    <t xml:space="preserve">Sample Client</t>
  </si>
  <si>
    <t xml:space="preserve">Report Date</t>
  </si>
  <si>
    <t xml:space="preserve">10 April 2026</t>
  </si>
  <si>
    <t xml:space="preserve">Advisor</t>
  </si>
  <si>
    <t xml:space="preserve">Chester</t>
  </si>
  <si>
    <t xml:space="preserve">Primary Goal</t>
  </si>
  <si>
    <t xml:space="preserve">Sell HDB → Buy Condo</t>
  </si>
  <si>
    <t xml:space="preserve">Budget Ceiling</t>
  </si>
  <si>
    <t xml:space="preserve">FINANCIAL SNAPSHOT</t>
  </si>
  <si>
    <t xml:space="preserve">Total Gross Income (Monthly)</t>
  </si>
  <si>
    <t xml:space="preserve">Total Funds Available</t>
  </si>
  <si>
    <t xml:space="preserve">Max Affordable Price</t>
  </si>
  <si>
    <t xml:space="preserve">TDSR Headroom ($/mo)</t>
  </si>
  <si>
    <t xml:space="preserve">Budget Check</t>
  </si>
  <si>
    <t xml:space="preserve">ADVISOR RECOMMENDATION</t>
  </si>
  <si>
    <t xml:space="preserve">[Enter recommendation summary here — e.g., Based on your financial profile and goals, we recommend selling your HDB and purchasing a private condo in the $1.35-1.40M range. The Antares at Mattar offers the best yield-carry balance, while Rivercove Residences provides stronger capital gain potential.]</t>
  </si>
  <si>
    <t xml:space="preserve">TOP 3 SHORTLISTED PROPERTIES</t>
  </si>
  <si>
    <t xml:space="preserve">#</t>
  </si>
  <si>
    <t xml:space="preserve">Project</t>
  </si>
  <si>
    <t xml:space="preserve">Price (Mid)</t>
  </si>
  <si>
    <t xml:space="preserve">Gross Yield</t>
  </si>
  <si>
    <t xml:space="preserve">Monthly Carry</t>
  </si>
  <si>
    <t xml:space="preserve">Base IRR (5yr)</t>
  </si>
  <si>
    <t xml:space="preserve">Rivercove Residences</t>
  </si>
  <si>
    <t xml:space="preserve">See Deep Dive</t>
  </si>
  <si>
    <t xml:space="preserve">The Antares</t>
  </si>
  <si>
    <t xml:space="preserve">ECO at Bedok</t>
  </si>
  <si>
    <t xml:space="preserve">CLIENT PROFILE &amp; FINANCIAL POSITION</t>
  </si>
  <si>
    <t xml:space="preserve">A) CLIENT IDENTITY</t>
  </si>
  <si>
    <t xml:space="preserve">Residency Status</t>
  </si>
  <si>
    <t xml:space="preserve">SC</t>
  </si>
  <si>
    <t xml:space="preserve">Age</t>
  </si>
  <si>
    <t xml:space="preserve">Age Bracket</t>
  </si>
  <si>
    <t xml:space="preserve">&lt;=35</t>
  </si>
  <si>
    <t xml:space="preserve">Marital Status</t>
  </si>
  <si>
    <t xml:space="preserve">Married</t>
  </si>
  <si>
    <t xml:space="preserve">B) INCOME &amp; EMPLOYMENT</t>
  </si>
  <si>
    <t xml:space="preserve">Gross Monthly Income (Applicant A)</t>
  </si>
  <si>
    <t xml:space="preserve">Gross Monthly Income (Applicant B)</t>
  </si>
  <si>
    <t xml:space="preserve">Additional Income (non-TDSR)</t>
  </si>
  <si>
    <t xml:space="preserve">Total Gross Income (TDSR-eligible)</t>
  </si>
  <si>
    <t xml:space="preserve">CPF Contribution Rate</t>
  </si>
  <si>
    <t xml:space="preserve">CPF OA Ratio</t>
  </si>
  <si>
    <t xml:space="preserve">CPF OA Monthly Inflow</t>
  </si>
  <si>
    <t xml:space="preserve">Employee CPF Rate</t>
  </si>
  <si>
    <t xml:space="preserve">Net Take-Home (A+B+Additional)</t>
  </si>
  <si>
    <t xml:space="preserve">C) EXISTING COMMITMENTS</t>
  </si>
  <si>
    <t xml:space="preserve">Car Loan / Personal Loan (monthly)</t>
  </si>
  <si>
    <t xml:space="preserve">Other Monthly Commitments</t>
  </si>
  <si>
    <t xml:space="preserve">Total Commitments</t>
  </si>
  <si>
    <t xml:space="preserve">D) CURRENT PROPERTY</t>
  </si>
  <si>
    <t xml:space="preserve">Currently Owns Property?</t>
  </si>
  <si>
    <t xml:space="preserve">Yes</t>
  </si>
  <si>
    <t xml:space="preserve">Property Type</t>
  </si>
  <si>
    <t xml:space="preserve">HDB 4-Room</t>
  </si>
  <si>
    <t xml:space="preserve">District</t>
  </si>
  <si>
    <t xml:space="preserve">D19 Sengkang</t>
  </si>
  <si>
    <t xml:space="preserve">Est. Market Value</t>
  </si>
  <si>
    <t xml:space="preserve">Outstanding Mortgage</t>
  </si>
  <si>
    <t xml:space="preserve">Monthly Mortgage Payment</t>
  </si>
  <si>
    <t xml:space="preserve">Net Equity</t>
  </si>
  <si>
    <t xml:space="preserve">Est. Sale Proceeds (net 2% agent)</t>
  </si>
  <si>
    <t xml:space="preserve">E) AVAILABLE FUNDS</t>
  </si>
  <si>
    <t xml:space="preserve">CPF OA Balance (Applicant A)</t>
  </si>
  <si>
    <t xml:space="preserve">CPF OA Balance (Applicant B)</t>
  </si>
  <si>
    <t xml:space="preserve">Total Funds (CPF+Cash+Liquid+SaleProceeds)</t>
  </si>
  <si>
    <t xml:space="preserve">Cash Savings</t>
  </si>
  <si>
    <t xml:space="preserve">Other Liquid Assets</t>
  </si>
  <si>
    <t xml:space="preserve">Gift / Family Support</t>
  </si>
  <si>
    <t xml:space="preserve">F) AFFORDABILITY ANALYSIS</t>
  </si>
  <si>
    <t xml:space="preserve">TDSR Utilisation</t>
  </si>
  <si>
    <t xml:space="preserve">Funds Sufficiency Check</t>
  </si>
  <si>
    <t xml:space="preserve">G) GOALS &amp; PREFERENCES</t>
  </si>
  <si>
    <t xml:space="preserve">Risk Tolerance</t>
  </si>
  <si>
    <t xml:space="preserve">Balanced</t>
  </si>
  <si>
    <t xml:space="preserve">Purpose</t>
  </si>
  <si>
    <t xml:space="preserve">Own Stay + Investment</t>
  </si>
  <si>
    <t xml:space="preserve">Holding Horizon (years)</t>
  </si>
  <si>
    <t xml:space="preserve">4-6</t>
  </si>
  <si>
    <t xml:space="preserve">Monthly Carry Tolerance</t>
  </si>
  <si>
    <t xml:space="preserve">Target IRR</t>
  </si>
  <si>
    <t xml:space="preserve">SCENARIO COMPARISON</t>
  </si>
  <si>
    <t xml:space="preserve">Metric</t>
  </si>
  <si>
    <t xml:space="preserve">A: Status Quo</t>
  </si>
  <si>
    <t xml:space="preserve">B: Sell → Buy Condo</t>
  </si>
  <si>
    <t xml:space="preserve">C: Buy Investment</t>
  </si>
  <si>
    <t xml:space="preserve">Action</t>
  </si>
  <si>
    <t xml:space="preserve">Stay in current property</t>
  </si>
  <si>
    <t xml:space="preserve">Sell HDB, buy private condo</t>
  </si>
  <si>
    <t xml:space="preserve">Keep HDB, buy investment condo</t>
  </si>
  <si>
    <t xml:space="preserve">Purchase Price</t>
  </si>
  <si>
    <t xml:space="preserve">N/A</t>
  </si>
  <si>
    <t xml:space="preserve">BSD (tiered)</t>
  </si>
  <si>
    <t xml:space="preserve">ABSD (SC 1st property)</t>
  </si>
  <si>
    <t xml:space="preserve">Downpayment (25%)</t>
  </si>
  <si>
    <t xml:space="preserve">Legal Fees</t>
  </si>
  <si>
    <t xml:space="preserve">Reno &amp; Furnishing</t>
  </si>
  <si>
    <t xml:space="preserve">Total Upfront Cash</t>
  </si>
  <si>
    <t xml:space="preserve">Loan Amount (75% LTV)</t>
  </si>
  <si>
    <t xml:space="preserve">Monthly Mortgage (P+I)</t>
  </si>
  <si>
    <t xml:space="preserve">CPF OA Monthly Coverage</t>
  </si>
  <si>
    <t xml:space="preserve">Cash Outlay per Month</t>
  </si>
  <si>
    <t xml:space="preserve">TDSR Check</t>
  </si>
  <si>
    <t xml:space="preserve">Gross Rental Income</t>
  </si>
  <si>
    <t xml:space="preserve">Occupancy-Adj Rent (90%)</t>
  </si>
  <si>
    <t xml:space="preserve">Maintenance + Prop Tax</t>
  </si>
  <si>
    <t xml:space="preserve">Net Monthly Carry</t>
  </si>
  <si>
    <t xml:space="preserve">Surplus / Shortfall (Funds)</t>
  </si>
  <si>
    <t xml:space="preserve">Est. Property Value (5yr)</t>
  </si>
  <si>
    <t xml:space="preserve">Remaining Loan (5yr)</t>
  </si>
  <si>
    <t xml:space="preserve">Est. Exit Equity (5yr)</t>
  </si>
  <si>
    <t xml:space="preserve">PROS &amp; CONS SUMMARY</t>
  </si>
  <si>
    <t xml:space="preserve">Advantages</t>
  </si>
  <si>
    <t xml:space="preserve">No cost, no disruption</t>
  </si>
  <si>
    <t xml:space="preserve">Zero ABSD, equity unlock</t>
  </si>
  <si>
    <t xml:space="preserve">Zero ABSD, rental income, diversify</t>
  </si>
  <si>
    <t xml:space="preserve">Risks / Trade-offs</t>
  </si>
  <si>
    <t xml:space="preserve">Locked equity, opportunity cost</t>
  </si>
  <si>
    <t xml:space="preserve">Transaction costs, market risk</t>
  </si>
  <si>
    <t xml:space="preserve">Negative carry, TDSR load, dual mortgage</t>
  </si>
  <si>
    <t xml:space="preserve">PROPERTY SHORTLIST — TOP 5 RECOMMENDATIONS</t>
  </si>
  <si>
    <t xml:space="preserve">Dist</t>
  </si>
  <si>
    <t xml:space="preserve">Type</t>
  </si>
  <si>
    <t xml:space="preserve">Budget Min</t>
  </si>
  <si>
    <t xml:space="preserve">Budget Max</t>
  </si>
  <si>
    <t xml:space="preserve">PSF</t>
  </si>
  <si>
    <t xml:space="preserve">Rent/mo</t>
  </si>
  <si>
    <t xml:space="preserve">Base IRR</t>
  </si>
  <si>
    <t xml:space="preserve">Priority</t>
  </si>
  <si>
    <t xml:space="preserve">Investment Thesis</t>
  </si>
  <si>
    <t xml:space="preserve">D19</t>
  </si>
  <si>
    <t xml:space="preserve">Post-MOP EC</t>
  </si>
  <si>
    <t xml:space="preserve">PRIMARY</t>
  </si>
  <si>
    <t xml:space="preserve">Freshly MOP'd EC — waterfront on Punggol Reservoir. Hundred Palms trajectory template.</t>
  </si>
  <si>
    <t xml:space="preserve">D14</t>
  </si>
  <si>
    <t xml:space="preserve">Private Resale</t>
  </si>
  <si>
    <t xml:space="preserve">Highest yield. 1-min sheltered Mattar MRT DTL. Bidadari + Paya Lebar + Geylang rezoning catalysts.</t>
  </si>
  <si>
    <t xml:space="preserve">D16</t>
  </si>
  <si>
    <t xml:space="preserve">SECONDARY</t>
  </si>
  <si>
    <t xml:space="preserve">TEL Bedok South 2026 — dual-line access. Best yield-per-dollar on shortlist.</t>
  </si>
  <si>
    <t xml:space="preserve">Treasure at Tampines</t>
  </si>
  <si>
    <t xml:space="preserve">D18</t>
  </si>
  <si>
    <t xml:space="preserve">Deepest resale liquidity — 170 units in 2025. Changi Biz Park tenant base.</t>
  </si>
  <si>
    <t xml:space="preserve">Florence Residences</t>
  </si>
  <si>
    <t xml:space="preserve">Newer private in D19 with Hougang MRT NEL. Same district demand as Rivercove.</t>
  </si>
  <si>
    <t xml:space="preserve">DEEP DIVE — RIVERCOVE RESIDENCES</t>
  </si>
  <si>
    <t xml:space="preserve">Post-MOP EC · D19 Sengkang · 3BR/2BA · 904-958 sqft · 99yr</t>
  </si>
  <si>
    <t xml:space="preserve">KEY INPUTS</t>
  </si>
  <si>
    <t xml:space="preserve">Purchase Price (midpoint)</t>
  </si>
  <si>
    <t xml:space="preserve">Monthly Rent Estimate</t>
  </si>
  <si>
    <t xml:space="preserve">Mortgage Rate (Investment)</t>
  </si>
  <si>
    <t xml:space="preserve">Loan Tenure (years)</t>
  </si>
  <si>
    <t xml:space="preserve">LTV Ratio</t>
  </si>
  <si>
    <t xml:space="preserve">Residency</t>
  </si>
  <si>
    <t xml:space="preserve">Property Count (before purchase)</t>
  </si>
  <si>
    <t xml:space="preserve">ACQUISITION COST BREAKDOWN</t>
  </si>
  <si>
    <t xml:space="preserve">Buyer Stamp Duty (BSD)</t>
  </si>
  <si>
    <t xml:space="preserve">ABSD</t>
  </si>
  <si>
    <t xml:space="preserve">Downpayment</t>
  </si>
  <si>
    <t xml:space="preserve">TOTAL UPFRONT CASH</t>
  </si>
  <si>
    <t xml:space="preserve">Loan Amount</t>
  </si>
  <si>
    <t xml:space="preserve">MONTHLY CASH FLOW (YEAR 1)</t>
  </si>
  <si>
    <t xml:space="preserve">Gross Monthly Rent</t>
  </si>
  <si>
    <t xml:space="preserve">Occupancy-Adjusted (90%)</t>
  </si>
  <si>
    <t xml:space="preserve">Maintenance (est.)</t>
  </si>
  <si>
    <t xml:space="preserve">Property Tax (NROC est.)</t>
  </si>
  <si>
    <t xml:space="preserve">NET MONTHLY CARRY</t>
  </si>
  <si>
    <t xml:space="preserve">Annual Carry</t>
  </si>
  <si>
    <t xml:space="preserve">5-Year Carry Reserve Needed</t>
  </si>
  <si>
    <t xml:space="preserve">EXIT SCENARIOS (YEAR 5)</t>
  </si>
  <si>
    <t xml:space="preserve">Bear Case</t>
  </si>
  <si>
    <t xml:space="preserve">Base Case</t>
  </si>
  <si>
    <t xml:space="preserve">Bull Case</t>
  </si>
  <si>
    <t xml:space="preserve">Capital CAGR</t>
  </si>
  <si>
    <t xml:space="preserve">Exit Price</t>
  </si>
  <si>
    <t xml:space="preserve">Agent Commission (1%)</t>
  </si>
  <si>
    <t xml:space="preserve">Exit Equity</t>
  </si>
  <si>
    <t xml:space="preserve">Equity IRR (5yr)</t>
  </si>
  <si>
    <t xml:space="preserve">Meets Target IRR?</t>
  </si>
  <si>
    <t xml:space="preserve">INVESTMENT THESIS &amp; NOTES</t>
  </si>
  <si>
    <t xml:space="preserve">Freshly MOP'd Oct 2025. EC-to-private price gap fully intact. Waterfront on Punggol Reservoir. Hundred Palms trajectory is the template. Key catalysts: EC price discovery phase, waterfront reservoir facing, PDD adjacency, school cluster. Risks: LRT dependency (not direct MRT), D19 supply pipeline, 3.0% yield = higher carry.</t>
  </si>
  <si>
    <t xml:space="preserve">IRR Helper (Year 0-5)</t>
  </si>
  <si>
    <t xml:space="preserve">Yr 0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</si>
  <si>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</si>
  <si>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</si>
  <si>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</si>
  <si>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</si>
  <si>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</si>
  <si>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Bear Cashflows</t>
  </si>
  <si>
    <t xml:space="preserve">Base Cashflows</t>
  </si>
  <si>
    <t xml:space="preserve">Bull Cashflows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</si>
</sst>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.00%"/>
    <numFmt numFmtId="168" formatCode="\$#,##0;&quot;($&quot;#,##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4B5F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F4C8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6"/>
      <color rgb="FF0F4C8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2"/>
      <color rgb="FF0F4C81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i val="true"/>
      <sz val="10"/>
      <color rgb="FF3333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1923"/>
        <bgColor rgb="FF000000"/>
      </patternFill>
    </fill>
    <fill>
      <patternFill patternType="solid">
        <fgColor rgb="FFE8F1FA"/>
        <bgColor rgb="FFF7F8FA"/>
      </patternFill>
    </fill>
    <fill>
      <patternFill patternType="solid">
        <fgColor rgb="FF0F4C81"/>
        <bgColor rgb="FF333399"/>
      </patternFill>
    </fill>
    <fill>
      <patternFill patternType="solid">
        <fgColor rgb="FFF7F8FA"/>
        <bgColor rgb="FFFFFFFF"/>
      </patternFill>
    </fill>
    <fill>
      <patternFill patternType="solid">
        <fgColor rgb="FFFFFFFF"/>
        <bgColor rgb="FFF7F8FA"/>
      </patternFill>
    </fill>
    <fill>
      <patternFill patternType="solid">
        <fgColor rgb="FF2E7D32"/>
        <bgColor rgb="FF008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/>
      <bottom style="medium">
        <color rgb="FF0F4C81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8FA"/>
      <rgbColor rgb="FFE8F1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4B5F6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57F17"/>
      <rgbColor rgb="FF666699"/>
      <rgbColor rgb="FF969696"/>
      <rgbColor rgb="FF0F4C81"/>
      <rgbColor rgb="FF2E7D32"/>
      <rgbColor rgb="FF0F1923"/>
      <rgbColor rgb="FF444444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81"/>
    <pageSetUpPr fitToPage="false"/>
  </sheetPr>
  <dimension ref="A2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22"/>
    <col collapsed="false" customWidth="true" hidden="false" outlineLevel="0" max="7" min="7" style="1" width="3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6" t="s">
        <v>5</v>
      </c>
    </row>
    <row r="7" customFormat="false" ht="15" hidden="false" customHeight="true" outlineLevel="0" collapsed="false">
      <c r="B7" s="4" t="s">
        <v>6</v>
      </c>
      <c r="C7" s="6" t="s">
        <v>7</v>
      </c>
    </row>
    <row r="8" customFormat="false" ht="15" hidden="false" customHeight="true" outlineLevel="0" collapsed="false">
      <c r="B8" s="4" t="s">
        <v>8</v>
      </c>
      <c r="C8" s="7" t="s">
        <v>9</v>
      </c>
    </row>
    <row r="9" customFormat="false" ht="15" hidden="false" customHeight="true" outlineLevel="0" collapsed="false">
      <c r="B9" s="4" t="s">
        <v>10</v>
      </c>
      <c r="C9" s="8" t="n">
        <v>1400000</v>
      </c>
    </row>
    <row r="11" customFormat="false" ht="15" hidden="false" customHeight="true" outlineLevel="0" collapsed="false">
      <c r="B11" s="9" t="s">
        <v>11</v>
      </c>
      <c r="C11" s="9"/>
      <c r="D11" s="9"/>
      <c r="E11" s="9"/>
      <c r="F11" s="9"/>
    </row>
    <row r="12" customFormat="false" ht="15" hidden="false" customHeight="true" outlineLevel="0" collapsed="false">
      <c r="B12" s="4" t="s">
        <v>12</v>
      </c>
      <c r="C12" s="10" t="n">
        <f aca="false">'Client Profile'!C14</f>
        <v>11279</v>
      </c>
    </row>
    <row r="13" customFormat="false" ht="15" hidden="false" customHeight="true" outlineLevel="0" collapsed="false">
      <c r="B13" s="4" t="s">
        <v>13</v>
      </c>
      <c r="C13" s="10" t="n">
        <f aca="false">'Client Profile'!C36</f>
        <v>827000</v>
      </c>
    </row>
    <row r="14" customFormat="false" ht="15" hidden="false" customHeight="true" outlineLevel="0" collapsed="false">
      <c r="B14" s="4" t="s">
        <v>14</v>
      </c>
      <c r="C14" s="10" t="n">
        <f aca="false">'Client Profile'!C40</f>
        <v>0</v>
      </c>
    </row>
    <row r="15" customFormat="false" ht="15" hidden="false" customHeight="true" outlineLevel="0" collapsed="false">
      <c r="B15" s="4" t="s">
        <v>15</v>
      </c>
      <c r="C15" s="10" t="n">
        <f aca="false">'Client Profile'!C41</f>
        <v>1730000</v>
      </c>
    </row>
    <row r="16" customFormat="false" ht="15" hidden="false" customHeight="true" outlineLevel="0" collapsed="false">
      <c r="B16" s="4" t="s">
        <v>16</v>
      </c>
      <c r="C16" s="11" t="str">
        <f aca="false">IF(C9&lt;='Client Profile'!C40,"WITHIN RANGE","EXCEEDS MAX")</f>
        <v>EXCEEDS MAX</v>
      </c>
    </row>
    <row r="18" customFormat="false" ht="15" hidden="false" customHeight="true" outlineLevel="0" collapsed="false">
      <c r="B18" s="9" t="s">
        <v>17</v>
      </c>
      <c r="C18" s="9"/>
      <c r="D18" s="9"/>
      <c r="E18" s="9"/>
      <c r="F18" s="9"/>
    </row>
    <row r="19" customFormat="false" ht="15" hidden="false" customHeight="true" outlineLevel="0" collapsed="false">
      <c r="B19" s="12" t="s">
        <v>18</v>
      </c>
      <c r="C19" s="12"/>
      <c r="D19" s="12"/>
      <c r="E19" s="12"/>
      <c r="F19" s="12"/>
    </row>
    <row r="20" customFormat="false" ht="15" hidden="false" customHeight="true" outlineLevel="0" collapsed="false">
      <c r="B20" s="12"/>
      <c r="C20" s="12"/>
      <c r="D20" s="12"/>
      <c r="E20" s="12"/>
      <c r="F20" s="12"/>
    </row>
    <row r="22" customFormat="false" ht="15" hidden="false" customHeight="true" outlineLevel="0" collapsed="false">
      <c r="B22" s="9" t="s">
        <v>19</v>
      </c>
      <c r="C22" s="9"/>
      <c r="D22" s="9"/>
      <c r="E22" s="9"/>
      <c r="F22" s="9"/>
    </row>
    <row r="23" customFormat="false" ht="102.75" hidden="false" customHeight="true" outlineLevel="0" collapsed="false">
      <c r="A23" s="13" t="s">
        <v>20</v>
      </c>
      <c r="B23" s="13" t="s">
        <v>20</v>
      </c>
      <c r="C23" s="13" t="s">
        <v>21</v>
      </c>
      <c r="D23" s="13" t="s">
        <v>22</v>
      </c>
      <c r="E23" s="13" t="s">
        <v>23</v>
      </c>
      <c r="F23" s="13" t="s">
        <v>24</v>
      </c>
      <c r="G23" s="13" t="s">
        <v>25</v>
      </c>
    </row>
    <row r="24" customFormat="false" ht="15" hidden="false" customHeight="true" outlineLevel="0" collapsed="false">
      <c r="B24" s="14" t="n">
        <v>1</v>
      </c>
      <c r="C24" s="15" t="s">
        <v>26</v>
      </c>
      <c r="D24" s="16" t="n">
        <v>1390000</v>
      </c>
      <c r="E24" s="17" t="n">
        <f aca="false">3800*12/1390000</f>
        <v>0.0328057553956835</v>
      </c>
      <c r="F24" s="16" t="n">
        <f aca="false">3800*0.9-PMT(0.038/12,360,-1390000*0.75)-380-3800*0.85*0.11</f>
        <v>-2172.90538411841</v>
      </c>
      <c r="G24" s="18" t="s">
        <v>27</v>
      </c>
    </row>
    <row r="25" customFormat="false" ht="15" hidden="false" customHeight="true" outlineLevel="0" collapsed="false">
      <c r="B25" s="14" t="n">
        <v>2</v>
      </c>
      <c r="C25" s="15" t="s">
        <v>28</v>
      </c>
      <c r="D25" s="16" t="n">
        <v>1375000</v>
      </c>
      <c r="E25" s="17" t="n">
        <f aca="false">4200*12/1375000</f>
        <v>0.0366545454545455</v>
      </c>
      <c r="F25" s="16" t="n">
        <f aca="false">4200*0.9-PMT(0.038/12,360,-1375000*0.75)-380-4200*0.85*0.11</f>
        <v>-1797.88518213152</v>
      </c>
      <c r="G25" s="18" t="s">
        <v>27</v>
      </c>
    </row>
    <row r="26" customFormat="false" ht="15" hidden="false" customHeight="true" outlineLevel="0" collapsed="false">
      <c r="B26" s="14" t="n">
        <v>3</v>
      </c>
      <c r="C26" s="15" t="s">
        <v>29</v>
      </c>
      <c r="D26" s="16" t="n">
        <v>1210000</v>
      </c>
      <c r="E26" s="17" t="n">
        <f aca="false">3900*12/1210000</f>
        <v>0.0386776859504132</v>
      </c>
      <c r="F26" s="16" t="n">
        <f aca="false">3900*0.9-PMT(0.038/12,360,-1210000*0.75)-380-3900*0.85*0.11</f>
        <v>-1463.21296027574</v>
      </c>
      <c r="G26" s="18" t="s">
        <v>27</v>
      </c>
    </row>
  </sheetData>
  <mergeCells count="6">
    <mergeCell ref="B2:F2"/>
    <mergeCell ref="B3:F3"/>
    <mergeCell ref="B11:F11"/>
    <mergeCell ref="B18:F18"/>
    <mergeCell ref="B19:F20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3E8"/>
    <pageSetUpPr fitToPage="false"/>
  </sheetPr>
  <dimension ref="B2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4" min="3" style="1" width="24"/>
    <col collapsed="false" customWidth="true" hidden="false" outlineLevel="0" max="5" min="5" style="1" width="3"/>
  </cols>
  <sheetData>
    <row r="2" customFormat="false" ht="19.5" hidden="false" customHeight="true" outlineLevel="0" collapsed="false">
      <c r="B2" s="19" t="s">
        <v>30</v>
      </c>
      <c r="C2" s="19"/>
      <c r="D2" s="19"/>
    </row>
    <row r="4" customFormat="false" ht="15" hidden="false" customHeight="true" outlineLevel="0" collapsed="false">
      <c r="B4" s="9" t="s">
        <v>31</v>
      </c>
      <c r="C4" s="9"/>
      <c r="D4" s="9"/>
    </row>
    <row r="5" customFormat="false" ht="15" hidden="false" customHeight="true" outlineLevel="0" collapsed="false">
      <c r="B5" s="4" t="s">
        <v>2</v>
      </c>
      <c r="C5" s="7" t="s">
        <v>3</v>
      </c>
    </row>
    <row r="6" customFormat="false" ht="15" hidden="false" customHeight="true" outlineLevel="0" collapsed="false">
      <c r="B6" s="4" t="s">
        <v>32</v>
      </c>
      <c r="C6" s="7" t="s">
        <v>33</v>
      </c>
    </row>
    <row r="7" customFormat="false" ht="15" hidden="false" customHeight="true" outlineLevel="0" collapsed="false">
      <c r="B7" s="4" t="s">
        <v>34</v>
      </c>
      <c r="C7" s="7" t="n">
        <v>35</v>
      </c>
    </row>
    <row r="8" customFormat="false" ht="15" hidden="false" customHeight="true" outlineLevel="0" collapsed="false">
      <c r="B8" s="4" t="s">
        <v>35</v>
      </c>
      <c r="C8" s="7" t="s">
        <v>36</v>
      </c>
    </row>
    <row r="9" customFormat="false" ht="15" hidden="false" customHeight="true" outlineLevel="0" collapsed="false">
      <c r="B9" s="4" t="s">
        <v>37</v>
      </c>
      <c r="C9" s="7" t="s">
        <v>38</v>
      </c>
    </row>
    <row r="10" customFormat="false" ht="15" hidden="false" customHeight="true" outlineLevel="0" collapsed="false">
      <c r="B10" s="9" t="s">
        <v>39</v>
      </c>
      <c r="C10" s="9"/>
      <c r="D10" s="9"/>
    </row>
    <row r="11" customFormat="false" ht="15" hidden="false" customHeight="true" outlineLevel="0" collapsed="false">
      <c r="B11" s="4" t="s">
        <v>40</v>
      </c>
      <c r="C11" s="8" t="n">
        <v>11279</v>
      </c>
    </row>
    <row r="12" customFormat="false" ht="15" hidden="false" customHeight="true" outlineLevel="0" collapsed="false">
      <c r="B12" s="4" t="s">
        <v>41</v>
      </c>
      <c r="C12" s="8" t="n">
        <v>0</v>
      </c>
    </row>
    <row r="13" customFormat="false" ht="15" hidden="false" customHeight="true" outlineLevel="0" collapsed="false">
      <c r="B13" s="4" t="s">
        <v>42</v>
      </c>
      <c r="C13" s="8" t="n">
        <v>4500</v>
      </c>
    </row>
    <row r="14" customFormat="false" ht="15" hidden="false" customHeight="true" outlineLevel="0" collapsed="false">
      <c r="B14" s="20" t="s">
        <v>43</v>
      </c>
      <c r="C14" s="21" t="n">
        <f aca="false">C11+C12</f>
        <v>11279</v>
      </c>
    </row>
    <row r="15" customFormat="false" ht="15" hidden="false" customHeight="true" outlineLevel="0" collapsed="false">
      <c r="B15" s="20" t="s">
        <v>44</v>
      </c>
      <c r="C15" s="22" t="n">
        <v>0.37</v>
      </c>
    </row>
    <row r="16" customFormat="false" ht="15" hidden="false" customHeight="true" outlineLevel="0" collapsed="false">
      <c r="B16" s="20" t="s">
        <v>45</v>
      </c>
      <c r="C16" s="23" t="n">
        <v>0.6217</v>
      </c>
    </row>
    <row r="17" customFormat="false" ht="15" hidden="false" customHeight="true" outlineLevel="0" collapsed="false">
      <c r="B17" s="20" t="s">
        <v>46</v>
      </c>
      <c r="C17" s="21" t="n">
        <f aca="false">C11*C15*C16</f>
        <v>2594.497091</v>
      </c>
    </row>
    <row r="18" customFormat="false" ht="15" hidden="false" customHeight="true" outlineLevel="0" collapsed="false">
      <c r="B18" s="20" t="s">
        <v>47</v>
      </c>
      <c r="C18" s="22" t="n">
        <v>0.2</v>
      </c>
    </row>
    <row r="19" customFormat="false" ht="15" hidden="false" customHeight="true" outlineLevel="0" collapsed="false">
      <c r="B19" s="20" t="s">
        <v>48</v>
      </c>
      <c r="C19" s="21" t="n">
        <f aca="false">C11*(1-C18)+C12*(1-C18)+C13</f>
        <v>13523.2</v>
      </c>
    </row>
    <row r="20" customFormat="false" ht="15" hidden="false" customHeight="true" outlineLevel="0" collapsed="false">
      <c r="B20" s="9" t="s">
        <v>49</v>
      </c>
      <c r="C20" s="9"/>
      <c r="D20" s="9"/>
    </row>
    <row r="21" customFormat="false" ht="15" hidden="false" customHeight="true" outlineLevel="0" collapsed="false">
      <c r="B21" s="4" t="s">
        <v>50</v>
      </c>
      <c r="C21" s="8" t="n">
        <v>0</v>
      </c>
    </row>
    <row r="22" customFormat="false" ht="15" hidden="false" customHeight="true" outlineLevel="0" collapsed="false">
      <c r="B22" s="4" t="s">
        <v>51</v>
      </c>
      <c r="C22" s="8" t="n">
        <v>0</v>
      </c>
    </row>
    <row r="23" customFormat="false" ht="15" hidden="false" customHeight="true" outlineLevel="0" collapsed="false">
      <c r="B23" s="20" t="s">
        <v>52</v>
      </c>
      <c r="C23" s="21" t="n">
        <f aca="false">C21+C22</f>
        <v>0</v>
      </c>
    </row>
    <row r="24" customFormat="false" ht="15" hidden="false" customHeight="true" outlineLevel="0" collapsed="false">
      <c r="B24" s="9" t="s">
        <v>53</v>
      </c>
      <c r="C24" s="9"/>
      <c r="D24" s="9"/>
    </row>
    <row r="25" customFormat="false" ht="15" hidden="false" customHeight="true" outlineLevel="0" collapsed="false">
      <c r="B25" s="4" t="s">
        <v>54</v>
      </c>
      <c r="C25" s="7" t="s">
        <v>55</v>
      </c>
    </row>
    <row r="26" customFormat="false" ht="15" hidden="false" customHeight="true" outlineLevel="0" collapsed="false">
      <c r="B26" s="4" t="s">
        <v>56</v>
      </c>
      <c r="C26" s="7" t="s">
        <v>57</v>
      </c>
    </row>
    <row r="27" customFormat="false" ht="15" hidden="false" customHeight="true" outlineLevel="0" collapsed="false">
      <c r="B27" s="4" t="s">
        <v>58</v>
      </c>
      <c r="C27" s="7" t="s">
        <v>59</v>
      </c>
    </row>
    <row r="28" customFormat="false" ht="15" hidden="false" customHeight="true" outlineLevel="0" collapsed="false">
      <c r="B28" s="4" t="s">
        <v>60</v>
      </c>
      <c r="C28" s="8" t="n">
        <v>650000</v>
      </c>
    </row>
    <row r="29" customFormat="false" ht="15" hidden="false" customHeight="true" outlineLevel="0" collapsed="false">
      <c r="B29" s="4" t="s">
        <v>61</v>
      </c>
      <c r="C29" s="8" t="n">
        <v>180000</v>
      </c>
    </row>
    <row r="30" customFormat="false" ht="15" hidden="false" customHeight="true" outlineLevel="0" collapsed="false">
      <c r="B30" s="4" t="s">
        <v>62</v>
      </c>
      <c r="C30" s="8" t="n">
        <v>1200</v>
      </c>
    </row>
    <row r="31" customFormat="false" ht="15" hidden="false" customHeight="true" outlineLevel="0" collapsed="false">
      <c r="B31" s="20" t="s">
        <v>63</v>
      </c>
      <c r="C31" s="21" t="n">
        <f aca="false">IF(C25="Yes",C28-C29,0)</f>
        <v>470000</v>
      </c>
    </row>
    <row r="32" customFormat="false" ht="15" hidden="false" customHeight="true" outlineLevel="0" collapsed="false">
      <c r="B32" s="20" t="s">
        <v>64</v>
      </c>
      <c r="C32" s="21" t="n">
        <f aca="false">IF(C25="Yes",C28-C29-C28*0.02,0)</f>
        <v>457000</v>
      </c>
    </row>
    <row r="33" customFormat="false" ht="15" hidden="false" customHeight="true" outlineLevel="0" collapsed="false">
      <c r="B33" s="9" t="s">
        <v>65</v>
      </c>
      <c r="C33" s="9"/>
      <c r="D33" s="9"/>
    </row>
    <row r="34" customFormat="false" ht="15" hidden="false" customHeight="true" outlineLevel="0" collapsed="false">
      <c r="B34" s="4" t="s">
        <v>66</v>
      </c>
      <c r="C34" s="8" t="n">
        <v>120000</v>
      </c>
    </row>
    <row r="35" customFormat="false" ht="15" hidden="false" customHeight="true" outlineLevel="0" collapsed="false">
      <c r="B35" s="4" t="s">
        <v>67</v>
      </c>
      <c r="C35" s="8" t="n">
        <v>0</v>
      </c>
    </row>
    <row r="36" customFormat="false" ht="15" hidden="false" customHeight="true" outlineLevel="0" collapsed="false">
      <c r="B36" s="20" t="s">
        <v>68</v>
      </c>
      <c r="C36" s="21" t="n">
        <f aca="false">C34+C35+C37+C38+C39+IF(C32&gt;0,C32,0)</f>
        <v>827000</v>
      </c>
    </row>
    <row r="37" customFormat="false" ht="15" hidden="false" customHeight="true" outlineLevel="0" collapsed="false">
      <c r="B37" s="4" t="s">
        <v>69</v>
      </c>
      <c r="C37" s="8" t="n">
        <v>200000</v>
      </c>
    </row>
    <row r="38" customFormat="false" ht="15" hidden="false" customHeight="true" outlineLevel="0" collapsed="false">
      <c r="B38" s="4" t="s">
        <v>70</v>
      </c>
      <c r="C38" s="8" t="n">
        <v>50000</v>
      </c>
    </row>
    <row r="39" customFormat="false" ht="15" hidden="false" customHeight="true" outlineLevel="0" collapsed="false">
      <c r="B39" s="4" t="s">
        <v>71</v>
      </c>
      <c r="C39" s="8" t="n">
        <v>0</v>
      </c>
    </row>
    <row r="40" customFormat="false" ht="15" hidden="false" customHeight="true" outlineLevel="0" collapsed="false">
      <c r="B40" s="9" t="s">
        <v>72</v>
      </c>
      <c r="C40" s="9"/>
      <c r="D40" s="9"/>
    </row>
    <row r="41" customFormat="false" ht="15" hidden="false" customHeight="true" outlineLevel="0" collapsed="false">
      <c r="B41" s="20" t="s">
        <v>14</v>
      </c>
      <c r="C41" s="21" t="n">
        <f aca="false">IF(C14&gt;0,ROUND((C14*0.55-C23)/0.004774/0.75,-4),0)</f>
        <v>1730000</v>
      </c>
    </row>
    <row r="42" customFormat="false" ht="15" hidden="false" customHeight="true" outlineLevel="0" collapsed="false">
      <c r="B42" s="20" t="s">
        <v>15</v>
      </c>
      <c r="C42" s="21" t="n">
        <f aca="false">C14*0.55-C23</f>
        <v>6203.45</v>
      </c>
    </row>
    <row r="43" customFormat="false" ht="15" hidden="false" customHeight="true" outlineLevel="0" collapsed="false">
      <c r="B43" s="20" t="s">
        <v>73</v>
      </c>
      <c r="C43" s="24" t="n">
        <f aca="false">IF(C14&gt;0,C23/C14,0)</f>
        <v>0</v>
      </c>
    </row>
    <row r="44" customFormat="false" ht="15" hidden="false" customHeight="true" outlineLevel="0" collapsed="false">
      <c r="B44" s="20" t="s">
        <v>74</v>
      </c>
      <c r="C44" s="25" t="str">
        <f aca="false">IF(C36&gt;=C46*0.3,"SUFFICIENT","SHORTFALL")</f>
        <v>SUFFICIENT</v>
      </c>
    </row>
    <row r="45" customFormat="false" ht="15" hidden="false" customHeight="true" outlineLevel="0" collapsed="false">
      <c r="B45" s="9" t="s">
        <v>75</v>
      </c>
      <c r="C45" s="9"/>
      <c r="D45" s="9"/>
    </row>
    <row r="46" customFormat="false" ht="15" hidden="false" customHeight="true" outlineLevel="0" collapsed="false">
      <c r="B46" s="4" t="s">
        <v>10</v>
      </c>
      <c r="C46" s="8" t="n">
        <v>1400000</v>
      </c>
    </row>
    <row r="47" customFormat="false" ht="15" hidden="false" customHeight="true" outlineLevel="0" collapsed="false">
      <c r="B47" s="4" t="s">
        <v>8</v>
      </c>
      <c r="C47" s="7" t="s">
        <v>9</v>
      </c>
    </row>
    <row r="48" customFormat="false" ht="15" hidden="false" customHeight="true" outlineLevel="0" collapsed="false">
      <c r="B48" s="4" t="s">
        <v>76</v>
      </c>
      <c r="C48" s="7" t="s">
        <v>77</v>
      </c>
    </row>
    <row r="49" customFormat="false" ht="15" hidden="false" customHeight="true" outlineLevel="0" collapsed="false">
      <c r="B49" s="4" t="s">
        <v>78</v>
      </c>
      <c r="C49" s="7" t="s">
        <v>79</v>
      </c>
    </row>
    <row r="50" customFormat="false" ht="15" hidden="false" customHeight="true" outlineLevel="0" collapsed="false">
      <c r="B50" s="4" t="s">
        <v>80</v>
      </c>
      <c r="C50" s="7" t="s">
        <v>81</v>
      </c>
    </row>
    <row r="51" customFormat="false" ht="15" hidden="false" customHeight="true" outlineLevel="0" collapsed="false">
      <c r="B51" s="4" t="s">
        <v>82</v>
      </c>
      <c r="C51" s="8" t="n">
        <v>2000</v>
      </c>
    </row>
    <row r="52" customFormat="false" ht="15" hidden="false" customHeight="true" outlineLevel="0" collapsed="false">
      <c r="B52" s="4" t="s">
        <v>83</v>
      </c>
      <c r="C52" s="22" t="n">
        <v>0.1</v>
      </c>
    </row>
  </sheetData>
  <mergeCells count="8">
    <mergeCell ref="B2:D2"/>
    <mergeCell ref="B4:D4"/>
    <mergeCell ref="B10:D10"/>
    <mergeCell ref="B20:D20"/>
    <mergeCell ref="B24:D24"/>
    <mergeCell ref="B33:D33"/>
    <mergeCell ref="B40:D40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22"/>
    <col collapsed="false" customWidth="true" hidden="false" outlineLevel="0" max="6" min="6" style="1" width="3"/>
  </cols>
  <sheetData>
    <row r="2" customFormat="false" ht="19.5" hidden="false" customHeight="true" outlineLevel="0" collapsed="false">
      <c r="B2" s="19" t="s">
        <v>84</v>
      </c>
      <c r="C2" s="19"/>
      <c r="D2" s="19"/>
      <c r="E2" s="19"/>
    </row>
    <row r="4" customFormat="false" ht="15" hidden="false" customHeight="true" outlineLevel="0" collapsed="false">
      <c r="B4" s="26" t="s">
        <v>85</v>
      </c>
      <c r="C4" s="13" t="s">
        <v>86</v>
      </c>
      <c r="D4" s="13" t="s">
        <v>87</v>
      </c>
      <c r="E4" s="13" t="s">
        <v>88</v>
      </c>
    </row>
    <row r="5" customFormat="false" ht="15" hidden="false" customHeight="true" outlineLevel="0" collapsed="false">
      <c r="B5" s="27" t="s">
        <v>89</v>
      </c>
      <c r="C5" s="28" t="s">
        <v>90</v>
      </c>
      <c r="D5" s="28" t="s">
        <v>91</v>
      </c>
      <c r="E5" s="28" t="s">
        <v>92</v>
      </c>
    </row>
    <row r="6" customFormat="false" ht="15" hidden="false" customHeight="true" outlineLevel="0" collapsed="false">
      <c r="B6" s="29" t="s">
        <v>93</v>
      </c>
      <c r="C6" s="30" t="s">
        <v>94</v>
      </c>
      <c r="D6" s="31" t="n">
        <f aca="false">'Client Profile'!C46</f>
        <v>1400000</v>
      </c>
      <c r="E6" s="32" t="n">
        <f aca="false">1375000</f>
        <v>1375000</v>
      </c>
    </row>
    <row r="7" customFormat="false" ht="15" hidden="false" customHeight="true" outlineLevel="0" collapsed="false">
      <c r="B7" s="27" t="s">
        <v>95</v>
      </c>
      <c r="C7" s="33" t="s">
        <v>94</v>
      </c>
      <c r="D7" s="34" t="n">
        <f aca="false">MIN('Client Profile'!C46,180000)*0.01+MIN(MAX('Client Profile'!C46-180000,0),180000)*0.02+MIN(MAX('Client Profile'!C46-360000,0),640000)*0.03+MIN(MAX('Client Profile'!C46-1000000,0),500000)*0.04+MIN(MAX('Client Profile'!C46-1500000,0),1500000)*0.05+MAX('Client Profile'!C46-3000000,0)*0.06</f>
        <v>40600</v>
      </c>
      <c r="E7" s="35" t="n">
        <f aca="false">MIN(1375000,180000)*0.01+MIN(MAX(1375000-180000,0),180000)*0.02+MIN(MAX(1375000-360000,0),640000)*0.03+MIN(MAX(1375000-1000000,0),500000)*0.04</f>
        <v>39600</v>
      </c>
    </row>
    <row r="8" customFormat="false" ht="15" hidden="false" customHeight="true" outlineLevel="0" collapsed="false">
      <c r="B8" s="29" t="s">
        <v>96</v>
      </c>
      <c r="C8" s="30" t="s">
        <v>94</v>
      </c>
      <c r="D8" s="32" t="n">
        <f aca="false">0</f>
        <v>0</v>
      </c>
      <c r="E8" s="32" t="n">
        <f aca="false">0</f>
        <v>0</v>
      </c>
    </row>
    <row r="9" customFormat="false" ht="15" hidden="false" customHeight="true" outlineLevel="0" collapsed="false">
      <c r="B9" s="27" t="s">
        <v>97</v>
      </c>
      <c r="C9" s="33" t="s">
        <v>94</v>
      </c>
      <c r="D9" s="35" t="n">
        <f aca="false">D6*0.25</f>
        <v>350000</v>
      </c>
      <c r="E9" s="35" t="n">
        <f aca="false">E6*0.25</f>
        <v>343750</v>
      </c>
    </row>
    <row r="10" customFormat="false" ht="15" hidden="false" customHeight="true" outlineLevel="0" collapsed="false">
      <c r="B10" s="29" t="s">
        <v>98</v>
      </c>
      <c r="C10" s="30" t="s">
        <v>94</v>
      </c>
      <c r="D10" s="32" t="n">
        <f aca="false">3800</f>
        <v>3800</v>
      </c>
      <c r="E10" s="32" t="n">
        <f aca="false">3800</f>
        <v>3800</v>
      </c>
    </row>
    <row r="11" customFormat="false" ht="15" hidden="false" customHeight="true" outlineLevel="0" collapsed="false">
      <c r="B11" s="27" t="s">
        <v>99</v>
      </c>
      <c r="C11" s="33" t="s">
        <v>94</v>
      </c>
      <c r="D11" s="35" t="n">
        <f aca="false">0</f>
        <v>0</v>
      </c>
      <c r="E11" s="35" t="n">
        <f aca="false">20000</f>
        <v>20000</v>
      </c>
    </row>
    <row r="12" customFormat="false" ht="15" hidden="false" customHeight="true" outlineLevel="0" collapsed="false">
      <c r="B12" s="29" t="s">
        <v>100</v>
      </c>
      <c r="C12" s="30" t="s">
        <v>94</v>
      </c>
      <c r="D12" s="32" t="n">
        <f aca="false">D7+D8+D9+D10+D11</f>
        <v>394400</v>
      </c>
      <c r="E12" s="32" t="n">
        <f aca="false">E7+E8+E9+E10+E11</f>
        <v>407150</v>
      </c>
    </row>
    <row r="13" customFormat="false" ht="15" hidden="false" customHeight="true" outlineLevel="0" collapsed="false">
      <c r="B13" s="27" t="s">
        <v>101</v>
      </c>
      <c r="C13" s="33" t="s">
        <v>94</v>
      </c>
      <c r="D13" s="35" t="n">
        <f aca="false">D6*0.75</f>
        <v>1050000</v>
      </c>
      <c r="E13" s="35" t="n">
        <f aca="false">E6*0.75</f>
        <v>1031250</v>
      </c>
    </row>
    <row r="14" customFormat="false" ht="15" hidden="false" customHeight="true" outlineLevel="0" collapsed="false">
      <c r="B14" s="29" t="s">
        <v>102</v>
      </c>
      <c r="C14" s="30" t="s">
        <v>94</v>
      </c>
      <c r="D14" s="32" t="n">
        <f aca="false">PMT(0.015/12,360,-D13)</f>
        <v>3623.76220980508</v>
      </c>
      <c r="E14" s="32" t="n">
        <f aca="false">PMT(0.038/12,360,-E13)</f>
        <v>4805.18518213152</v>
      </c>
    </row>
    <row r="15" customFormat="false" ht="15" hidden="false" customHeight="true" outlineLevel="0" collapsed="false">
      <c r="B15" s="27" t="s">
        <v>103</v>
      </c>
      <c r="C15" s="34" t="n">
        <f aca="false">'Client Profile'!C17</f>
        <v>2594.497091</v>
      </c>
      <c r="D15" s="34" t="n">
        <f aca="false">MIN('Client Profile'!C17,D14)</f>
        <v>2594.497091</v>
      </c>
      <c r="E15" s="35" t="n">
        <f aca="false">0</f>
        <v>0</v>
      </c>
    </row>
    <row r="16" customFormat="false" ht="15" hidden="false" customHeight="true" outlineLevel="0" collapsed="false">
      <c r="B16" s="29" t="s">
        <v>104</v>
      </c>
      <c r="C16" s="32" t="n">
        <f aca="false">0</f>
        <v>0</v>
      </c>
      <c r="D16" s="32" t="n">
        <f aca="false">MAX(0,D14-D15)</f>
        <v>1029.26511880508</v>
      </c>
      <c r="E16" s="32" t="n">
        <f aca="false">E14</f>
        <v>4805.18518213152</v>
      </c>
    </row>
    <row r="17" customFormat="false" ht="15" hidden="false" customHeight="true" outlineLevel="0" collapsed="false">
      <c r="B17" s="27" t="s">
        <v>105</v>
      </c>
      <c r="C17" s="36" t="s">
        <v>94</v>
      </c>
      <c r="D17" s="37" t="n">
        <f aca="false">IF('Client Profile'!C14&gt;0,D14/'Client Profile'!C14,0)</f>
        <v>0.32128399767755</v>
      </c>
      <c r="E17" s="37" t="n">
        <f aca="false">IF('Client Profile'!C14&gt;0,(E14+'Client Profile'!C30)/'Client Profile'!C14,0)</f>
        <v>0.532421773395826</v>
      </c>
    </row>
    <row r="18" customFormat="false" ht="15" hidden="false" customHeight="true" outlineLevel="0" collapsed="false">
      <c r="B18" s="29" t="s">
        <v>106</v>
      </c>
      <c r="C18" s="30" t="s">
        <v>94</v>
      </c>
      <c r="D18" s="30" t="s">
        <v>94</v>
      </c>
      <c r="E18" s="32" t="n">
        <f aca="false">4200</f>
        <v>4200</v>
      </c>
    </row>
    <row r="19" customFormat="false" ht="15" hidden="false" customHeight="true" outlineLevel="0" collapsed="false">
      <c r="B19" s="27" t="s">
        <v>107</v>
      </c>
      <c r="C19" s="33" t="s">
        <v>94</v>
      </c>
      <c r="D19" s="33" t="s">
        <v>94</v>
      </c>
      <c r="E19" s="35" t="n">
        <f aca="false">E18*0.9</f>
        <v>3780</v>
      </c>
    </row>
    <row r="20" customFormat="false" ht="15" hidden="false" customHeight="true" outlineLevel="0" collapsed="false">
      <c r="B20" s="29" t="s">
        <v>108</v>
      </c>
      <c r="C20" s="30" t="s">
        <v>94</v>
      </c>
      <c r="D20" s="30" t="s">
        <v>94</v>
      </c>
      <c r="E20" s="32" t="n">
        <f aca="false">380+E18*0.85*0.11</f>
        <v>772.7</v>
      </c>
    </row>
    <row r="21" customFormat="false" ht="15" hidden="false" customHeight="true" outlineLevel="0" collapsed="false">
      <c r="B21" s="27" t="s">
        <v>109</v>
      </c>
      <c r="C21" s="33" t="s">
        <v>94</v>
      </c>
      <c r="D21" s="35" t="n">
        <f aca="false">0-D14</f>
        <v>-3623.76220980508</v>
      </c>
      <c r="E21" s="35" t="n">
        <f aca="false">E19-E14-E20</f>
        <v>-1797.88518213152</v>
      </c>
    </row>
    <row r="22" customFormat="false" ht="15" hidden="false" customHeight="true" outlineLevel="0" collapsed="false">
      <c r="B22" s="29" t="s">
        <v>110</v>
      </c>
      <c r="C22" s="30" t="s">
        <v>94</v>
      </c>
      <c r="D22" s="31" t="n">
        <f aca="false">'Client Profile'!C36-D12</f>
        <v>432600</v>
      </c>
      <c r="E22" s="31" t="n">
        <f aca="false">('Client Profile'!C34+'Client Profile'!C35+'Client Profile'!C37+'Client Profile'!C38)-E12</f>
        <v>-37150</v>
      </c>
    </row>
    <row r="23" customFormat="false" ht="15" hidden="false" customHeight="true" outlineLevel="0" collapsed="false">
      <c r="B23" s="27" t="s">
        <v>111</v>
      </c>
      <c r="C23" s="34" t="n">
        <f aca="false">IF('Client Profile'!C25="Yes",'Client Profile'!C28*1.02^5,0)</f>
        <v>717652.52208</v>
      </c>
      <c r="D23" s="35" t="n">
        <f aca="false">D6*1.04^5</f>
        <v>1703314.06336</v>
      </c>
      <c r="E23" s="35" t="n">
        <f aca="false">E6*1.04^5</f>
        <v>1672897.7408</v>
      </c>
    </row>
    <row r="24" customFormat="false" ht="15" hidden="false" customHeight="true" outlineLevel="0" collapsed="false">
      <c r="B24" s="29" t="s">
        <v>112</v>
      </c>
      <c r="C24" s="30" t="s">
        <v>94</v>
      </c>
      <c r="D24" s="32" t="n">
        <f aca="false">D13*((1+0.015/12)^360-(1+0.015/12)^60)/((1+0.015/12)^360-1)</f>
        <v>906084.787022711</v>
      </c>
      <c r="E24" s="32" t="n">
        <f aca="false">E13*((1+0.038/12)^360-(1+0.038/12)^60)/((1+0.038/12)^360-1)</f>
        <v>929694.143073826</v>
      </c>
    </row>
    <row r="25" customFormat="false" ht="15" hidden="false" customHeight="true" outlineLevel="0" collapsed="false">
      <c r="B25" s="27" t="s">
        <v>113</v>
      </c>
      <c r="C25" s="33" t="s">
        <v>94</v>
      </c>
      <c r="D25" s="35" t="n">
        <f aca="false">D23-D24-D23*0.01</f>
        <v>780196.135703689</v>
      </c>
      <c r="E25" s="35" t="n">
        <f aca="false">E23-E24-E23*0.01</f>
        <v>726474.620318174</v>
      </c>
    </row>
    <row r="27" customFormat="false" ht="15" hidden="false" customHeight="true" outlineLevel="0" collapsed="false">
      <c r="B27" s="9" t="s">
        <v>114</v>
      </c>
      <c r="C27" s="9"/>
      <c r="D27" s="9"/>
      <c r="E27" s="9"/>
    </row>
    <row r="28" customFormat="false" ht="15" hidden="false" customHeight="true" outlineLevel="0" collapsed="false">
      <c r="B28" s="38" t="s">
        <v>115</v>
      </c>
      <c r="C28" s="39" t="s">
        <v>116</v>
      </c>
      <c r="D28" s="39" t="s">
        <v>117</v>
      </c>
      <c r="E28" s="39" t="s">
        <v>118</v>
      </c>
    </row>
    <row r="29" customFormat="false" ht="15" hidden="false" customHeight="true" outlineLevel="0" collapsed="false">
      <c r="B29" s="40" t="s">
        <v>119</v>
      </c>
      <c r="C29" s="39" t="s">
        <v>120</v>
      </c>
      <c r="D29" s="39" t="s">
        <v>121</v>
      </c>
      <c r="E29" s="39" t="s">
        <v>122</v>
      </c>
    </row>
  </sheetData>
  <mergeCells count="2">
    <mergeCell ref="B2:E2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B2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0"/>
    <col collapsed="false" customWidth="true" hidden="false" outlineLevel="0" max="13" min="13" style="1" width="30"/>
  </cols>
  <sheetData>
    <row r="2" customFormat="false" ht="19.5" hidden="false" customHeight="true" outlineLevel="0" collapsed="false">
      <c r="B2" s="19" t="s">
        <v>123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customFormat="false" ht="26.25" hidden="false" customHeight="true" outlineLevel="0" collapsed="false">
      <c r="B4" s="41" t="s">
        <v>21</v>
      </c>
      <c r="C4" s="41" t="s">
        <v>124</v>
      </c>
      <c r="D4" s="41" t="s">
        <v>125</v>
      </c>
      <c r="E4" s="41" t="s">
        <v>126</v>
      </c>
      <c r="F4" s="41" t="s">
        <v>127</v>
      </c>
      <c r="G4" s="41" t="s">
        <v>128</v>
      </c>
      <c r="H4" s="41" t="s">
        <v>129</v>
      </c>
      <c r="I4" s="41" t="s">
        <v>23</v>
      </c>
      <c r="J4" s="41" t="s">
        <v>24</v>
      </c>
      <c r="K4" s="41" t="s">
        <v>130</v>
      </c>
      <c r="L4" s="41" t="s">
        <v>131</v>
      </c>
      <c r="M4" s="41" t="s">
        <v>132</v>
      </c>
    </row>
    <row r="5" customFormat="false" ht="32.25" hidden="false" customHeight="true" outlineLevel="0" collapsed="false">
      <c r="B5" s="42" t="s">
        <v>26</v>
      </c>
      <c r="C5" s="43" t="s">
        <v>133</v>
      </c>
      <c r="D5" s="44" t="s">
        <v>134</v>
      </c>
      <c r="E5" s="45" t="n">
        <v>1350000</v>
      </c>
      <c r="F5" s="45" t="n">
        <v>1430000</v>
      </c>
      <c r="G5" s="45" t="n">
        <v>1615</v>
      </c>
      <c r="H5" s="45" t="n">
        <v>3800</v>
      </c>
      <c r="I5" s="46" t="n">
        <f aca="false">H5*12/((E5+F5)/2)</f>
        <v>0.0328057553956835</v>
      </c>
      <c r="J5" s="47" t="n">
        <f aca="false">H5*0.9-PMT(0.038/12,360,-((E5+F5)/2)*0.75)-380-H5*0.85*0.11</f>
        <v>-2172.90538411841</v>
      </c>
      <c r="K5" s="48" t="s">
        <v>27</v>
      </c>
      <c r="L5" s="49" t="s">
        <v>135</v>
      </c>
      <c r="M5" s="50" t="s">
        <v>136</v>
      </c>
    </row>
    <row r="6" customFormat="false" ht="32.25" hidden="false" customHeight="true" outlineLevel="0" collapsed="false">
      <c r="B6" s="15" t="s">
        <v>28</v>
      </c>
      <c r="C6" s="14" t="s">
        <v>137</v>
      </c>
      <c r="D6" s="51" t="s">
        <v>138</v>
      </c>
      <c r="E6" s="16" t="n">
        <v>1350000</v>
      </c>
      <c r="F6" s="16" t="n">
        <v>1400000</v>
      </c>
      <c r="G6" s="16" t="n">
        <v>2067</v>
      </c>
      <c r="H6" s="16" t="n">
        <v>4200</v>
      </c>
      <c r="I6" s="17" t="n">
        <f aca="false">H6*12/((E6+F6)/2)</f>
        <v>0.0366545454545455</v>
      </c>
      <c r="J6" s="52" t="n">
        <f aca="false">H6*0.9-PMT(0.038/12,360,-((E6+F6)/2)*0.75)-380-H6*0.85*0.11</f>
        <v>-1797.88518213152</v>
      </c>
      <c r="K6" s="18" t="s">
        <v>27</v>
      </c>
      <c r="L6" s="53" t="s">
        <v>135</v>
      </c>
      <c r="M6" s="54" t="s">
        <v>139</v>
      </c>
    </row>
    <row r="7" customFormat="false" ht="32.25" hidden="false" customHeight="true" outlineLevel="0" collapsed="false">
      <c r="B7" s="42" t="s">
        <v>29</v>
      </c>
      <c r="C7" s="43" t="s">
        <v>140</v>
      </c>
      <c r="D7" s="44" t="s">
        <v>138</v>
      </c>
      <c r="E7" s="45" t="n">
        <v>1080000</v>
      </c>
      <c r="F7" s="45" t="n">
        <v>1340000</v>
      </c>
      <c r="G7" s="45" t="n">
        <v>1549</v>
      </c>
      <c r="H7" s="45" t="n">
        <v>3900</v>
      </c>
      <c r="I7" s="46" t="n">
        <f aca="false">H7*12/((E7+F7)/2)</f>
        <v>0.0386776859504132</v>
      </c>
      <c r="J7" s="47" t="n">
        <f aca="false">H7*0.9-PMT(0.038/12,360,-((E7+F7)/2)*0.75)-380-H7*0.85*0.11</f>
        <v>-1463.21296027574</v>
      </c>
      <c r="K7" s="48" t="s">
        <v>27</v>
      </c>
      <c r="L7" s="49" t="s">
        <v>141</v>
      </c>
      <c r="M7" s="50" t="s">
        <v>142</v>
      </c>
    </row>
    <row r="8" customFormat="false" ht="21.75" hidden="false" customHeight="true" outlineLevel="0" collapsed="false">
      <c r="B8" s="15" t="s">
        <v>143</v>
      </c>
      <c r="C8" s="14" t="s">
        <v>144</v>
      </c>
      <c r="D8" s="51" t="s">
        <v>138</v>
      </c>
      <c r="E8" s="16" t="n">
        <v>1190000</v>
      </c>
      <c r="F8" s="16" t="n">
        <v>1270000</v>
      </c>
      <c r="G8" s="16" t="n">
        <v>1700</v>
      </c>
      <c r="H8" s="16" t="n">
        <v>3600</v>
      </c>
      <c r="I8" s="17" t="n">
        <f aca="false">H8*12/((E8+F8)/2)</f>
        <v>0.0351219512195122</v>
      </c>
      <c r="J8" s="52" t="n">
        <f aca="false">H8*0.9-PMT(0.038/12,360,-((E8+F8)/2)*0.75)-380-H8*0.85*0.11</f>
        <v>-1775.05656292492</v>
      </c>
      <c r="K8" s="18" t="s">
        <v>27</v>
      </c>
      <c r="L8" s="55" t="s">
        <v>141</v>
      </c>
      <c r="M8" s="54" t="s">
        <v>145</v>
      </c>
    </row>
    <row r="9" customFormat="false" ht="32.25" hidden="false" customHeight="true" outlineLevel="0" collapsed="false">
      <c r="B9" s="42" t="s">
        <v>146</v>
      </c>
      <c r="C9" s="43" t="s">
        <v>133</v>
      </c>
      <c r="D9" s="44" t="s">
        <v>138</v>
      </c>
      <c r="E9" s="45" t="n">
        <v>1200000</v>
      </c>
      <c r="F9" s="45" t="n">
        <v>1400000</v>
      </c>
      <c r="G9" s="45" t="n">
        <v>1800</v>
      </c>
      <c r="H9" s="45" t="n">
        <v>3500</v>
      </c>
      <c r="I9" s="46" t="n">
        <f aca="false">H9*12/((E9+F9)/2)</f>
        <v>0.0323076923076923</v>
      </c>
      <c r="J9" s="47" t="n">
        <f aca="false">H9*0.9-PMT(0.038/12,360,-((E9+F9)/2)*0.75)-380-H9*0.85*0.11</f>
        <v>-2100.33417219707</v>
      </c>
      <c r="K9" s="48" t="s">
        <v>27</v>
      </c>
      <c r="L9" s="49" t="s">
        <v>141</v>
      </c>
      <c r="M9" s="50" t="s">
        <v>147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B2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20"/>
    <col collapsed="false" customWidth="true" hidden="false" outlineLevel="0" max="6" min="6" style="1" width="3"/>
  </cols>
  <sheetData>
    <row r="2" customFormat="false" ht="19.5" hidden="false" customHeight="true" outlineLevel="0" collapsed="false">
      <c r="B2" s="19" t="s">
        <v>148</v>
      </c>
      <c r="C2" s="19"/>
      <c r="D2" s="19"/>
      <c r="E2" s="19"/>
    </row>
    <row r="3" customFormat="false" ht="15" hidden="false" customHeight="true" outlineLevel="0" collapsed="false">
      <c r="B3" s="56" t="s">
        <v>149</v>
      </c>
    </row>
    <row r="5" customFormat="false" ht="15" hidden="false" customHeight="true" outlineLevel="0" collapsed="false">
      <c r="B5" s="9" t="s">
        <v>150</v>
      </c>
      <c r="C5" s="9"/>
      <c r="D5" s="9"/>
      <c r="E5" s="9"/>
    </row>
    <row r="6" customFormat="false" ht="15" hidden="false" customHeight="true" outlineLevel="0" collapsed="false">
      <c r="B6" s="4" t="s">
        <v>151</v>
      </c>
      <c r="C6" s="8" t="n">
        <v>1390000</v>
      </c>
    </row>
    <row r="7" customFormat="false" ht="15" hidden="false" customHeight="true" outlineLevel="0" collapsed="false">
      <c r="B7" s="4" t="s">
        <v>152</v>
      </c>
      <c r="C7" s="8" t="n">
        <v>3800</v>
      </c>
    </row>
    <row r="8" customFormat="false" ht="15" hidden="false" customHeight="true" outlineLevel="0" collapsed="false">
      <c r="B8" s="4" t="s">
        <v>153</v>
      </c>
      <c r="C8" s="22" t="n">
        <v>0.038</v>
      </c>
    </row>
    <row r="9" customFormat="false" ht="15" hidden="false" customHeight="true" outlineLevel="0" collapsed="false">
      <c r="B9" s="4" t="s">
        <v>154</v>
      </c>
      <c r="C9" s="7" t="n">
        <v>30</v>
      </c>
    </row>
    <row r="10" customFormat="false" ht="15" hidden="false" customHeight="true" outlineLevel="0" collapsed="false">
      <c r="B10" s="4" t="s">
        <v>155</v>
      </c>
      <c r="C10" s="22" t="n">
        <v>0.75</v>
      </c>
    </row>
    <row r="11" customFormat="false" ht="15" hidden="false" customHeight="true" outlineLevel="0" collapsed="false">
      <c r="B11" s="4" t="s">
        <v>156</v>
      </c>
      <c r="C11" s="7" t="s">
        <v>33</v>
      </c>
    </row>
    <row r="12" customFormat="false" ht="15" hidden="false" customHeight="true" outlineLevel="0" collapsed="false">
      <c r="B12" s="4" t="s">
        <v>157</v>
      </c>
      <c r="C12" s="7" t="n">
        <v>0</v>
      </c>
    </row>
    <row r="14" customFormat="false" ht="15" hidden="false" customHeight="true" outlineLevel="0" collapsed="false">
      <c r="B14" s="9" t="s">
        <v>158</v>
      </c>
      <c r="C14" s="9"/>
      <c r="D14" s="9"/>
      <c r="E14" s="9"/>
    </row>
    <row r="15" customFormat="false" ht="15" hidden="false" customHeight="true" outlineLevel="0" collapsed="false">
      <c r="B15" s="20" t="s">
        <v>93</v>
      </c>
      <c r="C15" s="21" t="n">
        <f aca="false">C6</f>
        <v>1390000</v>
      </c>
    </row>
    <row r="16" customFormat="false" ht="15" hidden="false" customHeight="true" outlineLevel="0" collapsed="false">
      <c r="B16" s="20" t="s">
        <v>159</v>
      </c>
      <c r="C16" s="21" t="n">
        <f aca="false">MIN(C6,180000)*0.01+MIN(MAX(C6-180000,0),180000)*0.02+MIN(MAX(C6-360000,0),640000)*0.03+MIN(MAX(C6-1000000,0),500000)*0.04+MIN(MAX(C6-1500000,0),1500000)*0.05+MAX(C6-3000000,0)*0.06</f>
        <v>40200</v>
      </c>
    </row>
    <row r="17" customFormat="false" ht="15" hidden="false" customHeight="true" outlineLevel="0" collapsed="false">
      <c r="B17" s="20" t="s">
        <v>160</v>
      </c>
      <c r="C17" s="21" t="n">
        <f aca="false">IF(C11="SC",IF(C12=0,0,IF(C12=1,C6*0.2,C6*0.35)),IF(C11="PR",IF(C12=0,C6*0.05,IF(C12=1,C6*0.3,C6*0.35)),C6*0.6))</f>
        <v>0</v>
      </c>
    </row>
    <row r="18" customFormat="false" ht="15" hidden="false" customHeight="true" outlineLevel="0" collapsed="false">
      <c r="B18" s="4" t="s">
        <v>98</v>
      </c>
      <c r="C18" s="8" t="n">
        <v>3800</v>
      </c>
    </row>
    <row r="19" customFormat="false" ht="15" hidden="false" customHeight="true" outlineLevel="0" collapsed="false">
      <c r="B19" s="4" t="s">
        <v>99</v>
      </c>
      <c r="C19" s="8" t="n">
        <v>20000</v>
      </c>
    </row>
    <row r="20" customFormat="false" ht="15" hidden="false" customHeight="true" outlineLevel="0" collapsed="false">
      <c r="B20" s="20" t="s">
        <v>161</v>
      </c>
      <c r="C20" s="21" t="n">
        <f aca="false">C6*(1-C10)</f>
        <v>347500</v>
      </c>
    </row>
    <row r="21" customFormat="false" ht="15" hidden="false" customHeight="true" outlineLevel="0" collapsed="false">
      <c r="B21" s="20" t="s">
        <v>162</v>
      </c>
      <c r="C21" s="57" t="n">
        <f aca="false">C16+C17+C18+C19+C20</f>
        <v>411500</v>
      </c>
    </row>
    <row r="22" customFormat="false" ht="15" hidden="false" customHeight="true" outlineLevel="0" collapsed="false">
      <c r="B22" s="20" t="s">
        <v>163</v>
      </c>
      <c r="C22" s="21" t="n">
        <f aca="false">C6*C10</f>
        <v>1042500</v>
      </c>
    </row>
    <row r="24" customFormat="false" ht="15" hidden="false" customHeight="true" outlineLevel="0" collapsed="false">
      <c r="B24" s="9" t="s">
        <v>164</v>
      </c>
      <c r="C24" s="9"/>
      <c r="D24" s="9"/>
      <c r="E24" s="9"/>
    </row>
    <row r="25" customFormat="false" ht="15" hidden="false" customHeight="true" outlineLevel="0" collapsed="false">
      <c r="B25" s="20" t="s">
        <v>165</v>
      </c>
      <c r="C25" s="21" t="n">
        <f aca="false">C7</f>
        <v>3800</v>
      </c>
    </row>
    <row r="26" customFormat="false" ht="15" hidden="false" customHeight="true" outlineLevel="0" collapsed="false">
      <c r="B26" s="20" t="s">
        <v>166</v>
      </c>
      <c r="C26" s="21" t="n">
        <f aca="false">C7*0.9</f>
        <v>3420</v>
      </c>
    </row>
    <row r="27" customFormat="false" ht="15" hidden="false" customHeight="true" outlineLevel="0" collapsed="false">
      <c r="B27" s="20" t="s">
        <v>102</v>
      </c>
      <c r="C27" s="21" t="n">
        <f aca="false">PMT(C8/12,C9*12,-C22)</f>
        <v>4857.60538411841</v>
      </c>
    </row>
    <row r="28" customFormat="false" ht="15" hidden="false" customHeight="true" outlineLevel="0" collapsed="false">
      <c r="B28" s="4" t="s">
        <v>167</v>
      </c>
      <c r="C28" s="8" t="n">
        <v>380</v>
      </c>
    </row>
    <row r="29" customFormat="false" ht="15" hidden="false" customHeight="true" outlineLevel="0" collapsed="false">
      <c r="B29" s="20" t="s">
        <v>168</v>
      </c>
      <c r="C29" s="21" t="n">
        <f aca="false">C7*0.85*0.11</f>
        <v>355.3</v>
      </c>
    </row>
    <row r="30" customFormat="false" ht="15" hidden="false" customHeight="true" outlineLevel="0" collapsed="false">
      <c r="B30" s="20" t="s">
        <v>169</v>
      </c>
      <c r="C30" s="58" t="n">
        <f aca="false">C26-C27-C28-C29</f>
        <v>-2172.90538411841</v>
      </c>
    </row>
    <row r="31" customFormat="false" ht="15" hidden="false" customHeight="true" outlineLevel="0" collapsed="false">
      <c r="B31" s="20" t="s">
        <v>23</v>
      </c>
      <c r="C31" s="24" t="n">
        <f aca="false">C7*12/C6</f>
        <v>0.0328057553956835</v>
      </c>
    </row>
    <row r="32" customFormat="false" ht="15" hidden="false" customHeight="true" outlineLevel="0" collapsed="false">
      <c r="B32" s="20" t="s">
        <v>170</v>
      </c>
      <c r="C32" s="21" t="n">
        <f aca="false">C30*12</f>
        <v>-26074.8646094209</v>
      </c>
    </row>
    <row r="33" customFormat="false" ht="15" hidden="false" customHeight="true" outlineLevel="0" collapsed="false">
      <c r="B33" s="20" t="s">
        <v>171</v>
      </c>
      <c r="C33" s="21" t="n">
        <f aca="false">IF(C30&lt;0,ABS(C30)*60,0)</f>
        <v>130374.323047104</v>
      </c>
    </row>
    <row r="35" customFormat="false" ht="15" hidden="false" customHeight="true" outlineLevel="0" collapsed="false">
      <c r="B35" s="9" t="s">
        <v>172</v>
      </c>
      <c r="C35" s="9"/>
      <c r="D35" s="9"/>
      <c r="E35" s="9"/>
    </row>
    <row r="36" customFormat="false" ht="15" hidden="false" customHeight="true" outlineLevel="0" collapsed="false">
      <c r="B36" s="26" t="s">
        <v>85</v>
      </c>
      <c r="C36" s="59" t="s">
        <v>173</v>
      </c>
      <c r="D36" s="59" t="s">
        <v>174</v>
      </c>
      <c r="E36" s="59" t="s">
        <v>175</v>
      </c>
    </row>
    <row r="37" customFormat="false" ht="15" hidden="false" customHeight="true" outlineLevel="0" collapsed="false">
      <c r="B37" s="60" t="s">
        <v>176</v>
      </c>
      <c r="C37" s="61" t="n">
        <v>0.02</v>
      </c>
      <c r="D37" s="61" t="n">
        <v>0.04</v>
      </c>
      <c r="E37" s="61" t="n">
        <v>0.06</v>
      </c>
    </row>
    <row r="38" customFormat="false" ht="15" hidden="false" customHeight="true" outlineLevel="0" collapsed="false">
      <c r="B38" s="60" t="s">
        <v>177</v>
      </c>
      <c r="C38" s="16" t="n">
        <f aca="false">C6*(1+C37)^5</f>
        <v>1534672.316448</v>
      </c>
      <c r="D38" s="16" t="n">
        <f aca="false">C6*(1+D37)^5</f>
        <v>1691147.534336</v>
      </c>
      <c r="E38" s="16" t="n">
        <f aca="false">C6*(1+E37)^5</f>
        <v>1860133.552864</v>
      </c>
    </row>
    <row r="39" customFormat="false" ht="15" hidden="false" customHeight="true" outlineLevel="0" collapsed="false">
      <c r="B39" s="60" t="s">
        <v>112</v>
      </c>
      <c r="C39" s="16" t="n">
        <f aca="false">C22*((1+C8/12)^(C9*12)-(1+C8/12)^60)/((1+C8/12)^(C9*12)-1)</f>
        <v>939836.260998268</v>
      </c>
      <c r="D39" s="16" t="n">
        <f aca="false">C22*((1+C8/12)^(C9*12)-(1+C8/12)^60)/((1+C8/12)^(C9*12)-1)</f>
        <v>939836.260998268</v>
      </c>
      <c r="E39" s="16" t="n">
        <f aca="false">C22*((1+C8/12)^(C9*12)-(1+C8/12)^60)/((1+C8/12)^(C9*12)-1)</f>
        <v>939836.260998268</v>
      </c>
    </row>
    <row r="40" customFormat="false" ht="15" hidden="false" customHeight="true" outlineLevel="0" collapsed="false">
      <c r="B40" s="60" t="s">
        <v>178</v>
      </c>
      <c r="C40" s="16" t="n">
        <f aca="false">C38*0.01</f>
        <v>15346.72316448</v>
      </c>
      <c r="D40" s="16" t="n">
        <f aca="false">D38*0.01</f>
        <v>16911.47534336</v>
      </c>
      <c r="E40" s="16" t="n">
        <f aca="false">E38*0.01</f>
        <v>18601.33552864</v>
      </c>
    </row>
    <row r="41" customFormat="false" ht="15" hidden="false" customHeight="true" outlineLevel="0" collapsed="false">
      <c r="B41" s="62" t="s">
        <v>179</v>
      </c>
      <c r="C41" s="63" t="n">
        <f aca="false">C38-C39-C40</f>
        <v>579489.332285252</v>
      </c>
      <c r="D41" s="63" t="n">
        <f aca="false">D38-D39-D40</f>
        <v>734399.797994372</v>
      </c>
      <c r="E41" s="63" t="n">
        <f aca="false">E38-E39-E40</f>
        <v>901695.956337092</v>
      </c>
    </row>
    <row r="42" customFormat="false" ht="15" hidden="false" customHeight="true" outlineLevel="0" collapsed="false">
      <c r="B42" s="62" t="s">
        <v>180</v>
      </c>
      <c r="C42" s="64" t="n">
        <f aca="false">IFERROR(IRR(C51:H51),0)</f>
        <v>0.0157501702495483</v>
      </c>
      <c r="D42" s="64" t="n">
        <f aca="false">IFERROR(IRR(C52:H52),0)</f>
        <v>0.0724259590690844</v>
      </c>
      <c r="E42" s="64" t="n">
        <f aca="false">IFERROR(IRR(C53:H53),0)</f>
        <v>0.123024360818151</v>
      </c>
    </row>
    <row r="43" customFormat="false" ht="15" hidden="false" customHeight="true" outlineLevel="0" collapsed="false">
      <c r="B43" s="60" t="s">
        <v>181</v>
      </c>
      <c r="C43" s="65" t="str">
        <f aca="false">IF(C42&gt;='Client Profile'!C52,"YES — MEETS TARGET","BELOW TARGET")</f>
        <v>BELOW TARGET</v>
      </c>
      <c r="D43" s="65" t="str">
        <f aca="false">IF(D42&gt;='Client Profile'!C52,"YES — MEETS TARGET","BELOW TARGET")</f>
        <v>BELOW TARGET</v>
      </c>
      <c r="E43" s="65" t="str">
        <f aca="false">IF(E42&gt;='Client Profile'!C52,"YES — MEETS TARGET","BELOW TARGET")</f>
        <v>YES — MEETS TARGET</v>
      </c>
    </row>
    <row r="45" customFormat="false" ht="15" hidden="false" customHeight="true" outlineLevel="0" collapsed="false">
      <c r="B45" s="9" t="s">
        <v>182</v>
      </c>
      <c r="C45" s="9"/>
      <c r="D45" s="9"/>
      <c r="E45" s="9"/>
    </row>
    <row r="46" customFormat="false" ht="15" hidden="false" customHeight="true" outlineLevel="0" collapsed="false">
      <c r="B46" s="66" t="s">
        <v>183</v>
      </c>
    </row>
    <row r="47" customFormat="false" ht="15" hidden="false" customHeight="true" outlineLevel="0" collapsed="false"/>
    <row r="48" customFormat="false" ht="15" hidden="false" customHeight="true" outlineLevel="0" collapsed="false"/>
    <row r="50" customFormat="false" ht="15" hidden="false" customHeight="true" outlineLevel="0" collapsed="false">
      <c r="B50" s="56" t="s">
        <v>184</v>
      </c>
      <c r="C50" s="56" t="s">
        <v>185</v>
      </c>
      <c r="D50" s="56" t="s">
        <v>186</v>
      </c>
      <c r="E50" s="56" t="s">
        <v>187</v>
      </c>
      <c r="F50" s="56" t="s">
        <v>188</v>
      </c>
      <c r="G50" s="56" t="s">
        <v>189</v>
      </c>
      <c r="H50" s="56" t="s">
        <v>190</v>
      </c>
    </row>
    <row r="51" customFormat="false" ht="15" hidden="false" customHeight="true" outlineLevel="0" collapsed="false">
      <c r="B51" s="56" t="s">
        <v>191</v>
      </c>
      <c r="C51" s="67" t="n">
        <f aca="false">-C21</f>
        <v>-411500</v>
      </c>
      <c r="D51" s="67" t="n">
        <f aca="false">C32</f>
        <v>-26074.8646094209</v>
      </c>
      <c r="E51" s="67" t="n">
        <f aca="false">C32</f>
        <v>-26074.8646094209</v>
      </c>
      <c r="F51" s="67" t="n">
        <f aca="false">C32</f>
        <v>-26074.8646094209</v>
      </c>
      <c r="G51" s="67" t="n">
        <f aca="false">C32</f>
        <v>-26074.8646094209</v>
      </c>
      <c r="H51" s="67" t="n">
        <f aca="false">C32+C41</f>
        <v>553414.467675831</v>
      </c>
    </row>
    <row r="52" customFormat="false" ht="15" hidden="false" customHeight="true" outlineLevel="0" collapsed="false">
      <c r="B52" s="56" t="s">
        <v>192</v>
      </c>
      <c r="C52" s="67" t="n">
        <f aca="false">-C21</f>
        <v>-411500</v>
      </c>
      <c r="D52" s="67" t="n">
        <f aca="false">C32</f>
        <v>-26074.8646094209</v>
      </c>
      <c r="E52" s="67" t="n">
        <f aca="false">C32</f>
        <v>-26074.8646094209</v>
      </c>
      <c r="F52" s="67" t="n">
        <f aca="false">C32</f>
        <v>-26074.8646094209</v>
      </c>
      <c r="G52" s="67" t="n">
        <f aca="false">C32</f>
        <v>-26074.8646094209</v>
      </c>
      <c r="H52" s="67" t="n">
        <f aca="false">C32+D41</f>
        <v>708324.933384951</v>
      </c>
    </row>
    <row r="53" customFormat="false" ht="15" hidden="false" customHeight="true" outlineLevel="0" collapsed="false">
      <c r="B53" s="56" t="s">
        <v>193</v>
      </c>
      <c r="C53" s="67" t="n">
        <f aca="false">-C21</f>
        <v>-411500</v>
      </c>
      <c r="D53" s="67" t="n">
        <f aca="false">C32</f>
        <v>-26074.8646094209</v>
      </c>
      <c r="E53" s="67" t="n">
        <f aca="false">C32</f>
        <v>-26074.8646094209</v>
      </c>
      <c r="F53" s="67" t="n">
        <f aca="false">C32</f>
        <v>-26074.8646094209</v>
      </c>
      <c r="G53" s="67" t="n">
        <f aca="false">C32</f>
        <v>-26074.8646094209</v>
      </c>
      <c r="H53" s="67" t="n">
        <f aca="false">C32+E41</f>
        <v>875621.091727671</v>
      </c>
    </row>
  </sheetData>
  <mergeCells count="6">
    <mergeCell ref="B2:E2"/>
    <mergeCell ref="B5:E5"/>
    <mergeCell ref="B14:E14"/>
    <mergeCell ref="B24:E24"/>
    <mergeCell ref="B35:E35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2026-04-10T13:44:49Z</dcterms:created>
  <dc:creator>openpyxl</dc:creator>
  <dc:description/>
  <dc:language>en-US</dc:language>
  <cp:lastModifiedBy/>
  <dcterms:modified xsi:type="dcterms:W3CDTF">2026-04-10T13:47:06Z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