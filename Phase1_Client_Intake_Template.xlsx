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 Intake" sheetId="1" state="visible" r:id="rId3"/>
    <sheet name="CPF Reference" sheetId="2" state="visible" r:id="rId4"/>
    <sheet name="Client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System</author>
  </authors>
  <commentList>
    <comment ref="C95" authorId="0">
      <text>
        <r>
          <rPr>
            <sz val="10"/>
            <rFont val="Arial"/>
            <family val="2"/>
          </rPr>
          <t xml:space="preserve">Stress-test rate 4% p.a., 30yr tenure, 75% LTV</t>
        </r>
      </text>
    </comment>
  </commentList>
</comments>
</file>

<file path=xl/sharedStrings.xml><?xml version="1.0" encoding="utf-8"?>
<sst xmlns="http://schemas.openxmlformats.org/spreadsheetml/2006/main" count="238" uniqueCount="229">
  <si>
    <t xml:space="preserve">PROPERTY CONSULTATION · CLIENT INTAKE FORM</t>
  </si>
  <si>
    <t xml:space="preserve">Blue text = Client fills in</t>
  </si>
  <si>
    <t xml:space="preserve">Orange bg = Key input</t>
  </si>
  <si>
    <t xml:space="preserve">Grey bg = Calculated (do not edit)</t>
  </si>
  <si>
    <t xml:space="preserve">A) CLIENT IDENTITY</t>
  </si>
  <si>
    <t xml:space="preserve">Client Name</t>
  </si>
  <si>
    <t xml:space="preserve">Full name as per NRIC</t>
  </si>
  <si>
    <t xml:space="preserve">Client ID / Reference</t>
  </si>
  <si>
    <t xml:space="preserve">Your internal reference code</t>
  </si>
  <si>
    <t xml:space="preserve">Consultation Date</t>
  </si>
  <si>
    <t xml:space="preserve">DD/MM/YYYY</t>
  </si>
  <si>
    <t xml:space="preserve">Nationality / Residency</t>
  </si>
  <si>
    <t xml:space="preserve">SC</t>
  </si>
  <si>
    <t xml:space="preserve">SC = Singapore Citizen, PR = Permanent Resident, Foreigner</t>
  </si>
  <si>
    <t xml:space="preserve">Age (Primary Buyer)</t>
  </si>
  <si>
    <t xml:space="preserve">Drives CPF rates and loan tenure limits</t>
  </si>
  <si>
    <t xml:space="preserve">Marital Status</t>
  </si>
  <si>
    <t xml:space="preserve">Married</t>
  </si>
  <si>
    <t xml:space="preserve">Single / Married / Divorced / Widowed</t>
  </si>
  <si>
    <t xml:space="preserve">Number of Dependents</t>
  </si>
  <si>
    <t xml:space="preserve">Children, elderly parents, etc.</t>
  </si>
  <si>
    <t xml:space="preserve">B) CURRENT PROPERTY SITUATION</t>
  </si>
  <si>
    <t xml:space="preserve">Currently Owns Property?</t>
  </si>
  <si>
    <t xml:space="preserve">Yes</t>
  </si>
  <si>
    <t xml:space="preserve">Yes / No. If No, skip to row below marked with ★</t>
  </si>
  <si>
    <t xml:space="preserve">Property Type</t>
  </si>
  <si>
    <t xml:space="preserve">HDB 4-Room</t>
  </si>
  <si>
    <t xml:space="preserve">HDB 2R/3R/4R/5R/EA/Maisonette, EC, Condo, Landed</t>
  </si>
  <si>
    <t xml:space="preserve">District / Location</t>
  </si>
  <si>
    <t xml:space="preserve">D19 · Sengkang</t>
  </si>
  <si>
    <t xml:space="preserve">District and estate name</t>
  </si>
  <si>
    <t xml:space="preserve">Estimated Current Market Value (S$)</t>
  </si>
  <si>
    <t xml:space="preserve">Based on recent comparable transactions</t>
  </si>
  <si>
    <t xml:space="preserve">Outstanding Mortgage (S$)</t>
  </si>
  <si>
    <t xml:space="preserve">Remaining loan balance as of today</t>
  </si>
  <si>
    <t xml:space="preserve">Monthly Mortgage Payment (S$)</t>
  </si>
  <si>
    <t xml:space="preserve">Current monthly repayment (cash + CPF)</t>
  </si>
  <si>
    <t xml:space="preserve">Original Purchase Price (S$)</t>
  </si>
  <si>
    <t xml:space="preserve">For capital gains estimation</t>
  </si>
  <si>
    <t xml:space="preserve">Year of Purchase</t>
  </si>
  <si>
    <t xml:space="preserve">For SSD and MOP calculations</t>
  </si>
  <si>
    <t xml:space="preserve">Tenure Type</t>
  </si>
  <si>
    <t xml:space="preserve">99yr HDB</t>
  </si>
  <si>
    <t xml:space="preserve">99yr HDB / 99yr Private / Freehold</t>
  </si>
  <si>
    <t xml:space="preserve">Remaining Lease (years)</t>
  </si>
  <si>
    <t xml:space="preserve">For leasehold properties</t>
  </si>
  <si>
    <t xml:space="preserve">MOP Status</t>
  </si>
  <si>
    <t xml:space="preserve">Fulfilled</t>
  </si>
  <si>
    <t xml:space="preserve">Fulfilled / Not yet (state date). HDB &amp; EC only.</t>
  </si>
  <si>
    <t xml:space="preserve">Number of Properties Owned</t>
  </si>
  <si>
    <t xml:space="preserve">Total across all names. Drives ABSD calculation.</t>
  </si>
  <si>
    <t xml:space="preserve">Estimated Net Equity (S$)</t>
  </si>
  <si>
    <t xml:space="preserve">Market value minus outstanding mortgage</t>
  </si>
  <si>
    <t xml:space="preserve">Estimated Sale Proceeds (S$)</t>
  </si>
  <si>
    <t xml:space="preserve">Net equity minus ~2% agent commission on sale</t>
  </si>
  <si>
    <t xml:space="preserve">C) INCOME &amp; EMPLOYMENT</t>
  </si>
  <si>
    <t xml:space="preserve">Primary Buyer</t>
  </si>
  <si>
    <t xml:space="preserve">Gross Monthly Income (S$)</t>
  </si>
  <si>
    <t xml:space="preserve">Basic salary + fixed allowances. Variable bonuses excluded from TDSR.</t>
  </si>
  <si>
    <t xml:space="preserve">Employment Type</t>
  </si>
  <si>
    <t xml:space="preserve">Employed</t>
  </si>
  <si>
    <t xml:space="preserve">Employed / Self-Employed / Contract / Retired</t>
  </si>
  <si>
    <t xml:space="preserve">Years in Current Role</t>
  </si>
  <si>
    <t xml:space="preserve">Stability indicator for loan approval</t>
  </si>
  <si>
    <t xml:space="preserve">Age Bracket (CPF)</t>
  </si>
  <si>
    <t xml:space="preserve">≤35</t>
  </si>
  <si>
    <t xml:space="preserve">≤35 / 36-45 / 46-50 / 51-55 / 56-60 / 61-65 / 66-70</t>
  </si>
  <si>
    <t xml:space="preserve">Total CPF Rate (employer + employee)</t>
  </si>
  <si>
    <t xml:space="preserve">≤55: 37% | 56-60: 32.5% | 61-65: 22% | 66-70: 16.5%</t>
  </si>
  <si>
    <t xml:space="preserve">OA Allocation Ratio</t>
  </si>
  <si>
    <t xml:space="preserve">≤35: 0.6217 | 36-45: 0.5677 | 46-50: 0.5136 | 51-55: 0.4055</t>
  </si>
  <si>
    <t xml:space="preserve">Co-Borrower (enter 0 if single buyer)</t>
  </si>
  <si>
    <t xml:space="preserve">Co-Borrower Gross Monthly Income (S$)</t>
  </si>
  <si>
    <t xml:space="preserve">Enter 0 if no co-borrower. Must be co-owner per MAS rules.</t>
  </si>
  <si>
    <t xml:space="preserve">Co-Borrower Age Bracket (CPF)</t>
  </si>
  <si>
    <t xml:space="preserve">N/A</t>
  </si>
  <si>
    <t xml:space="preserve">N/A if no co-borrower</t>
  </si>
  <si>
    <t xml:space="preserve">Co-Borrower Total CPF Rate</t>
  </si>
  <si>
    <t xml:space="preserve">Enter 0 if no co-borrower</t>
  </si>
  <si>
    <t xml:space="preserve">Co-Borrower OA Allocation Ratio</t>
  </si>
  <si>
    <t xml:space="preserve">Additional Household Income</t>
  </si>
  <si>
    <t xml:space="preserve">Additional Monthly Income (S$)</t>
  </si>
  <si>
    <t xml:space="preserve">Spouse net take-home (not co-borrower), rental income, etc. Excluded from TDSR.</t>
  </si>
  <si>
    <t xml:space="preserve">Total Gross Income (TDSR-eligible)</t>
  </si>
  <si>
    <t xml:space="preserve">Combined gross income of all co-borrowers. Used for TDSR.</t>
  </si>
  <si>
    <t xml:space="preserve">Total Household Income (for cashflow)</t>
  </si>
  <si>
    <t xml:space="preserve">Net take-home after employee CPF + additional income</t>
  </si>
  <si>
    <t xml:space="preserve">Primary Buyer CPF OA Monthly</t>
  </si>
  <si>
    <t xml:space="preserve">Gross × total CPF rate × OA allocation ratio</t>
  </si>
  <si>
    <t xml:space="preserve">Co-Borrower CPF OA Monthly</t>
  </si>
  <si>
    <t xml:space="preserve">Zero if no co-borrower</t>
  </si>
  <si>
    <t xml:space="preserve">Total CPF OA for Mortgage</t>
  </si>
  <si>
    <t xml:space="preserve">Combined OA available for mortgage servicing</t>
  </si>
  <si>
    <t xml:space="preserve">D) EXISTING FINANCIAL COMMITMENTS</t>
  </si>
  <si>
    <t xml:space="preserve">All existing debt obligations. These count toward the 55% TDSR limit.</t>
  </si>
  <si>
    <t xml:space="preserve">Car Loan Monthly (S$)</t>
  </si>
  <si>
    <t xml:space="preserve">Monthly instalment. Enter 0 if none.</t>
  </si>
  <si>
    <t xml:space="preserve">Credit Card Min Payment (S$)</t>
  </si>
  <si>
    <t xml:space="preserve">3.5% of outstanding balance per MAS rules</t>
  </si>
  <si>
    <t xml:space="preserve">Personal Loan Monthly (S$)</t>
  </si>
  <si>
    <t xml:space="preserve">Education loans, renovation loans, etc.</t>
  </si>
  <si>
    <t xml:space="preserve">Other Mortgage Monthly (S$)</t>
  </si>
  <si>
    <t xml:space="preserve">If client owns other property with outstanding loan</t>
  </si>
  <si>
    <t xml:space="preserve">Other Commitments Monthly (S$)</t>
  </si>
  <si>
    <t xml:space="preserve">Any other fixed monthly obligations</t>
  </si>
  <si>
    <t xml:space="preserve">Total Monthly Commitments</t>
  </si>
  <si>
    <t xml:space="preserve">Sum of all existing debt obligations</t>
  </si>
  <si>
    <t xml:space="preserve">E) AVAILABLE FUNDS</t>
  </si>
  <si>
    <t xml:space="preserve">All sources of funds available for property purchase. CPF OA can be used for downpayment and mortgage.</t>
  </si>
  <si>
    <t xml:space="preserve">CPF OA Balance — Primary Buyer (S$)</t>
  </si>
  <si>
    <t xml:space="preserve">Current CPF Ordinary Account balance</t>
  </si>
  <si>
    <t xml:space="preserve">CPF OA Balance — Co-Borrower (S$)</t>
  </si>
  <si>
    <t xml:space="preserve">Cash Savings Available (S$)</t>
  </si>
  <si>
    <t xml:space="preserve">Liquid cash earmarked for property purchase</t>
  </si>
  <si>
    <t xml:space="preserve">Other Liquid Assets (S$)</t>
  </si>
  <si>
    <t xml:space="preserve">Investments that can be liquidated if needed</t>
  </si>
  <si>
    <t xml:space="preserve">Expected Gift / Family Support (S$)</t>
  </si>
  <si>
    <t xml:space="preserve">Cash gifts from family. Note: may affect loan assessment.</t>
  </si>
  <si>
    <t xml:space="preserve">Total Funds (excl. property sale)</t>
  </si>
  <si>
    <t xml:space="preserve">Cash + CPF + other sources</t>
  </si>
  <si>
    <t xml:space="preserve">Total Funds (incl. est. sale proceeds)</t>
  </si>
  <si>
    <t xml:space="preserve">Adds estimated net sale proceeds from current property</t>
  </si>
  <si>
    <t xml:space="preserve">F) MONTHLY LIVING EXPENSES</t>
  </si>
  <si>
    <t xml:space="preserve">General Monthly Spending (S$)</t>
  </si>
  <si>
    <t xml:space="preserve">Groceries, transport, dining, subscriptions, etc.</t>
  </si>
  <si>
    <t xml:space="preserve">Insurance Premiums Monthly (S$)</t>
  </si>
  <si>
    <t xml:space="preserve">Life, health, car insurance combined</t>
  </si>
  <si>
    <t xml:space="preserve">Children / Education Monthly (S$)</t>
  </si>
  <si>
    <t xml:space="preserve">School fees, tuition, enrichment</t>
  </si>
  <si>
    <t xml:space="preserve">Utilities Monthly (S$)</t>
  </si>
  <si>
    <t xml:space="preserve">Electricity, water, gas. $250-$450 typical for 3-4 pax</t>
  </si>
  <si>
    <t xml:space="preserve">Other Fixed Expenses Monthly (S$)</t>
  </si>
  <si>
    <t xml:space="preserve">Anything not captured above</t>
  </si>
  <si>
    <t xml:space="preserve">Total Monthly Living Expenses</t>
  </si>
  <si>
    <t xml:space="preserve">Excludes property costs (maintenance, tax) — those go in scenario model</t>
  </si>
  <si>
    <t xml:space="preserve">G) GOALS &amp; PREFERENCES</t>
  </si>
  <si>
    <t xml:space="preserve">Primary Goal</t>
  </si>
  <si>
    <t xml:space="preserve">Sell HDB → Buy Condo</t>
  </si>
  <si>
    <t xml:space="preserve">Upgrader / 1st Investment / Status Quo vs Upgrade / Sell 1 Buy 2 / HDB to HDB</t>
  </si>
  <si>
    <t xml:space="preserve">Risk Tolerance</t>
  </si>
  <si>
    <t xml:space="preserve">Balanced</t>
  </si>
  <si>
    <t xml:space="preserve">Conservative / Balanced / Aggressive</t>
  </si>
  <si>
    <t xml:space="preserve">Holding Horizon (years)</t>
  </si>
  <si>
    <t xml:space="preserve">4-6</t>
  </si>
  <si>
    <t xml:space="preserve">How long client plans to hold the next property</t>
  </si>
  <si>
    <t xml:space="preserve">Purpose</t>
  </si>
  <si>
    <t xml:space="preserve">Own Stay + Investment</t>
  </si>
  <si>
    <t xml:space="preserve">Own Stay / Pure Investment (Rental) / Own Stay + Investment</t>
  </si>
  <si>
    <t xml:space="preserve">Preferred Districts / Areas</t>
  </si>
  <si>
    <t xml:space="preserve">e.g. D14, D19, East side, near parents</t>
  </si>
  <si>
    <t xml:space="preserve">Property Type Preference</t>
  </si>
  <si>
    <t xml:space="preserve">HDB / EC / Condo / Landed / Open</t>
  </si>
  <si>
    <t xml:space="preserve">Size / Bedroom Requirement</t>
  </si>
  <si>
    <t xml:space="preserve">3BR / 900+ sqft</t>
  </si>
  <si>
    <t xml:space="preserve">Minimum bedroom count and size</t>
  </si>
  <si>
    <t xml:space="preserve">Must-Haves</t>
  </si>
  <si>
    <t xml:space="preserve">e.g. near MRT, school catchment, specific amenities</t>
  </si>
  <si>
    <t xml:space="preserve">Deal-Breakers</t>
  </si>
  <si>
    <t xml:space="preserve">e.g. no West side, no 99yr, no high floor</t>
  </si>
  <si>
    <t xml:space="preserve">Budget Ceiling (S$)</t>
  </si>
  <si>
    <t xml:space="preserve">Maximum purchase price client is willing to consider</t>
  </si>
  <si>
    <t xml:space="preserve">Monthly Carry Tolerance (S$)</t>
  </si>
  <si>
    <t xml:space="preserve">Max monthly top-up client is comfortable with (negative carry)</t>
  </si>
  <si>
    <t xml:space="preserve">Target IRR (%)</t>
  </si>
  <si>
    <t xml:space="preserve">Target annualised return. 10% = ambitious but realistic for SG property</t>
  </si>
  <si>
    <t xml:space="preserve">H) QUICK ELIGIBILITY &amp; AFFORDABILITY CHECK (Auto-Calculated)</t>
  </si>
  <si>
    <t xml:space="preserve">These are indicative checks based on intake data. Full scenario analysis in Stage 2.</t>
  </si>
  <si>
    <t xml:space="preserve">ABSD Rate</t>
  </si>
  <si>
    <t xml:space="preserve">Based on residency status and number of properties owned. SC 1st=0%, 2nd=20%, 3rd+=35%</t>
  </si>
  <si>
    <t xml:space="preserve">Max Affordable Purchase Price (est.)</t>
  </si>
  <si>
    <t xml:space="preserve">Rough estimate: TDSR headroom ÷ stress-test rate (4%) × LTV. Indicative only.</t>
  </si>
  <si>
    <t xml:space="preserve">Monthly TDSR Headroom (S$)</t>
  </si>
  <si>
    <t xml:space="preserve">Max additional monthly mortgage the bank will approve</t>
  </si>
  <si>
    <t xml:space="preserve">Funds vs Budget Check</t>
  </si>
  <si>
    <t xml:space="preserve">Checks if total funds cover ~30% of budget (25% downpayment + BSD + costs)</t>
  </si>
  <si>
    <t xml:space="preserve">End of Client Intake. This data feeds into Stage 2 (Scenario Analysis) and Stage 3 (Market Shortlisting).</t>
  </si>
  <si>
    <t xml:space="preserve">CPF CONTRIBUTION &amp; OA ALLOCATION REFERENCE (2025/2026)</t>
  </si>
  <si>
    <t xml:space="preserve">Age Bracket</t>
  </si>
  <si>
    <t xml:space="preserve">Total CPF Rate</t>
  </si>
  <si>
    <t xml:space="preserve">Employee Rate</t>
  </si>
  <si>
    <t xml:space="preserve">OA Allocation</t>
  </si>
  <si>
    <t xml:space="preserve">Notes</t>
  </si>
  <si>
    <t xml:space="preserve">≤35 years</t>
  </si>
  <si>
    <t xml:space="preserve">20% employee + 17% employer</t>
  </si>
  <si>
    <t xml:space="preserve">36-45 years</t>
  </si>
  <si>
    <t xml:space="preserve">OA allocation decreases with age</t>
  </si>
  <si>
    <t xml:space="preserve">46-50 years</t>
  </si>
  <si>
    <t xml:space="preserve">51-55 years</t>
  </si>
  <si>
    <t xml:space="preserve">56-60 years</t>
  </si>
  <si>
    <t xml:space="preserve">Total rate drops; OA share drops further</t>
  </si>
  <si>
    <t xml:space="preserve">61-65 years</t>
  </si>
  <si>
    <t xml:space="preserve">66-70 years</t>
  </si>
  <si>
    <t xml:space="preserve">BSD SCHEDULE (IRAS 2025)</t>
  </si>
  <si>
    <t xml:space="preserve">Purchase Price Bracket</t>
  </si>
  <si>
    <t xml:space="preserve">Rate</t>
  </si>
  <si>
    <t xml:space="preserve">Cumulative Max</t>
  </si>
  <si>
    <t xml:space="preserve">First $180,000</t>
  </si>
  <si>
    <t xml:space="preserve">1%</t>
  </si>
  <si>
    <t xml:space="preserve">Next $180,000</t>
  </si>
  <si>
    <t xml:space="preserve">2%</t>
  </si>
  <si>
    <t xml:space="preserve">Next $640,000</t>
  </si>
  <si>
    <t xml:space="preserve">3%</t>
  </si>
  <si>
    <t xml:space="preserve">Next $500,000</t>
  </si>
  <si>
    <t xml:space="preserve">4%</t>
  </si>
  <si>
    <t xml:space="preserve">Next $1,500,000</t>
  </si>
  <si>
    <t xml:space="preserve">5%</t>
  </si>
  <si>
    <t xml:space="preserve">Above $3,000,000</t>
  </si>
  <si>
    <t xml:space="preserve">6%</t>
  </si>
  <si>
    <t xml:space="preserve">ABSD RATES (Apr 2023 onwards)</t>
  </si>
  <si>
    <t xml:space="preserve">Buyer Profile</t>
  </si>
  <si>
    <t xml:space="preserve">1st Property</t>
  </si>
  <si>
    <t xml:space="preserve">2nd Property</t>
  </si>
  <si>
    <t xml:space="preserve">3rd+ Property</t>
  </si>
  <si>
    <t xml:space="preserve">Singapore Citizen</t>
  </si>
  <si>
    <t xml:space="preserve">0%</t>
  </si>
  <si>
    <t xml:space="preserve">20%</t>
  </si>
  <si>
    <t xml:space="preserve">35%</t>
  </si>
  <si>
    <t xml:space="preserve">Permanent Resident</t>
  </si>
  <si>
    <t xml:space="preserve">30%</t>
  </si>
  <si>
    <t xml:space="preserve">Foreigner</t>
  </si>
  <si>
    <t xml:space="preserve">60%</t>
  </si>
  <si>
    <t xml:space="preserve">CLIENT MANAGEMENT LOG</t>
  </si>
  <si>
    <t xml:space="preserve">#</t>
  </si>
  <si>
    <t xml:space="preserve">Budget (S$)</t>
  </si>
  <si>
    <t xml:space="preserve">Status</t>
  </si>
  <si>
    <t xml:space="preserve">Gross Income</t>
  </si>
  <si>
    <t xml:space="preserve">TDSR Headroom</t>
  </si>
  <si>
    <t xml:space="preserve">Funds Available</t>
  </si>
  <si>
    <t xml:space="preserve">Last Updated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</si>
</sst>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996600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2"/>
      <color rgb="FF0F4C81"/>
      <name val="Arial"/>
      <family val="0"/>
      <charset val="1"/>
    </font>
    <font>
      <sz val="11"/>
      <color rgb="FF333333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1923"/>
        <bgColor rgb="FF0000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8F1FA"/>
      </patternFill>
    </fill>
    <fill>
      <patternFill patternType="solid">
        <fgColor rgb="FFE8F1FA"/>
        <bgColor rgb="FFF2F2F2"/>
      </patternFill>
    </fill>
    <fill>
      <patternFill patternType="solid">
        <fgColor rgb="FFD6EAF8"/>
        <bgColor rgb="FFE8F1FA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F4C81"/>
      </bottom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2CC"/>
      <rgbColor rgb="FFD6EAF8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1FA"/>
      <rgbColor rgb="FFF2F2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F4C81"/>
      <rgbColor rgb="FF339966"/>
      <rgbColor rgb="FF0F1923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4" min="4" style="1" width="50"/>
    <col collapsed="false" customWidth="true" hidden="false" outlineLevel="0" max="5" min="5" style="1" width="18"/>
    <col collapsed="false" customWidth="true" hidden="false" outlineLevel="0" max="6" min="6" style="1" width="3"/>
  </cols>
  <sheetData>
    <row r="1" customFormat="false" ht="39.75" hidden="false" customHeight="true" outlineLevel="0" collapsed="false">
      <c r="A1" s="2"/>
      <c r="B1" s="3" t="s">
        <v>0</v>
      </c>
      <c r="C1" s="2"/>
      <c r="D1" s="2"/>
      <c r="E1" s="2"/>
      <c r="F1" s="2"/>
    </row>
    <row r="3" customFormat="false" ht="15" hidden="false" customHeight="true" outlineLevel="0" collapsed="false">
      <c r="B3" s="4" t="s">
        <v>1</v>
      </c>
      <c r="C3" s="5" t="s">
        <v>2</v>
      </c>
      <c r="D3" s="6" t="s">
        <v>3</v>
      </c>
    </row>
    <row r="5" customFormat="false" ht="15" hidden="false" customHeight="true" outlineLevel="0" collapsed="false">
      <c r="B5" s="7" t="s">
        <v>4</v>
      </c>
      <c r="C5" s="8"/>
      <c r="D5" s="8"/>
      <c r="E5" s="8"/>
    </row>
    <row r="6" customFormat="false" ht="15" hidden="false" customHeight="true" outlineLevel="0" collapsed="false">
      <c r="B6" s="9" t="s">
        <v>5</v>
      </c>
      <c r="C6" s="10"/>
      <c r="D6" s="11" t="s">
        <v>6</v>
      </c>
      <c r="E6" s="12"/>
    </row>
    <row r="7" customFormat="false" ht="15" hidden="false" customHeight="true" outlineLevel="0" collapsed="false">
      <c r="B7" s="9" t="s">
        <v>7</v>
      </c>
      <c r="C7" s="13"/>
      <c r="D7" s="11" t="s">
        <v>8</v>
      </c>
      <c r="E7" s="12"/>
    </row>
    <row r="8" customFormat="false" ht="15" hidden="false" customHeight="true" outlineLevel="0" collapsed="false">
      <c r="B8" s="9" t="s">
        <v>9</v>
      </c>
      <c r="C8" s="13"/>
      <c r="D8" s="11" t="s">
        <v>10</v>
      </c>
      <c r="E8" s="12"/>
    </row>
    <row r="9" customFormat="false" ht="23.25" hidden="false" customHeight="true" outlineLevel="0" collapsed="false">
      <c r="B9" s="9" t="s">
        <v>11</v>
      </c>
      <c r="C9" s="10" t="s">
        <v>12</v>
      </c>
      <c r="D9" s="11" t="s">
        <v>13</v>
      </c>
      <c r="E9" s="12"/>
    </row>
    <row r="10" customFormat="false" ht="15" hidden="false" customHeight="true" outlineLevel="0" collapsed="false">
      <c r="B10" s="9" t="s">
        <v>14</v>
      </c>
      <c r="C10" s="10" t="n">
        <v>35</v>
      </c>
      <c r="D10" s="11" t="s">
        <v>15</v>
      </c>
      <c r="E10" s="12"/>
    </row>
    <row r="11" customFormat="false" ht="15" hidden="false" customHeight="true" outlineLevel="0" collapsed="false">
      <c r="B11" s="9" t="s">
        <v>16</v>
      </c>
      <c r="C11" s="13" t="s">
        <v>17</v>
      </c>
      <c r="D11" s="11" t="s">
        <v>18</v>
      </c>
      <c r="E11" s="12"/>
    </row>
    <row r="12" customFormat="false" ht="15" hidden="false" customHeight="true" outlineLevel="0" collapsed="false">
      <c r="B12" s="9" t="s">
        <v>19</v>
      </c>
      <c r="C12" s="13" t="n">
        <v>2</v>
      </c>
      <c r="D12" s="11" t="s">
        <v>20</v>
      </c>
      <c r="E12" s="12"/>
    </row>
    <row r="14" customFormat="false" ht="15" hidden="false" customHeight="true" outlineLevel="0" collapsed="false">
      <c r="B14" s="7" t="s">
        <v>21</v>
      </c>
      <c r="C14" s="8"/>
      <c r="D14" s="8"/>
      <c r="E14" s="8"/>
    </row>
    <row r="15" customFormat="false" ht="15" hidden="false" customHeight="true" outlineLevel="0" collapsed="false">
      <c r="B15" s="9" t="s">
        <v>22</v>
      </c>
      <c r="C15" s="10" t="s">
        <v>23</v>
      </c>
      <c r="D15" s="11" t="s">
        <v>24</v>
      </c>
      <c r="E15" s="12"/>
    </row>
    <row r="16" customFormat="false" ht="15" hidden="false" customHeight="true" outlineLevel="0" collapsed="false">
      <c r="B16" s="9" t="s">
        <v>25</v>
      </c>
      <c r="C16" s="13" t="s">
        <v>26</v>
      </c>
      <c r="D16" s="11" t="s">
        <v>27</v>
      </c>
      <c r="E16" s="12"/>
    </row>
    <row r="17" customFormat="false" ht="15" hidden="false" customHeight="true" outlineLevel="0" collapsed="false">
      <c r="B17" s="9" t="s">
        <v>28</v>
      </c>
      <c r="C17" s="13" t="s">
        <v>29</v>
      </c>
      <c r="D17" s="11" t="s">
        <v>30</v>
      </c>
      <c r="E17" s="12"/>
    </row>
    <row r="18" customFormat="false" ht="15" hidden="false" customHeight="true" outlineLevel="0" collapsed="false">
      <c r="B18" s="9" t="s">
        <v>31</v>
      </c>
      <c r="C18" s="10" t="n">
        <v>650000</v>
      </c>
      <c r="D18" s="11" t="s">
        <v>32</v>
      </c>
      <c r="E18" s="12"/>
    </row>
    <row r="19" customFormat="false" ht="15" hidden="false" customHeight="true" outlineLevel="0" collapsed="false">
      <c r="B19" s="9" t="s">
        <v>33</v>
      </c>
      <c r="C19" s="13" t="n">
        <v>180000</v>
      </c>
      <c r="D19" s="11" t="s">
        <v>34</v>
      </c>
      <c r="E19" s="12"/>
    </row>
    <row r="20" customFormat="false" ht="15" hidden="false" customHeight="true" outlineLevel="0" collapsed="false">
      <c r="B20" s="9" t="s">
        <v>35</v>
      </c>
      <c r="C20" s="13" t="n">
        <v>1200</v>
      </c>
      <c r="D20" s="11" t="s">
        <v>36</v>
      </c>
      <c r="E20" s="12"/>
    </row>
    <row r="21" customFormat="false" ht="15" hidden="false" customHeight="true" outlineLevel="0" collapsed="false">
      <c r="B21" s="9" t="s">
        <v>37</v>
      </c>
      <c r="C21" s="13" t="n">
        <v>400000</v>
      </c>
      <c r="D21" s="11" t="s">
        <v>38</v>
      </c>
      <c r="E21" s="12"/>
    </row>
    <row r="22" customFormat="false" ht="15" hidden="false" customHeight="true" outlineLevel="0" collapsed="false">
      <c r="B22" s="9" t="s">
        <v>39</v>
      </c>
      <c r="C22" s="13" t="n">
        <v>2015</v>
      </c>
      <c r="D22" s="11" t="s">
        <v>40</v>
      </c>
      <c r="E22" s="12"/>
    </row>
    <row r="23" customFormat="false" ht="15" hidden="false" customHeight="true" outlineLevel="0" collapsed="false">
      <c r="B23" s="9" t="s">
        <v>41</v>
      </c>
      <c r="C23" s="13" t="s">
        <v>42</v>
      </c>
      <c r="D23" s="11" t="s">
        <v>43</v>
      </c>
      <c r="E23" s="12"/>
    </row>
    <row r="24" customFormat="false" ht="15" hidden="false" customHeight="true" outlineLevel="0" collapsed="false">
      <c r="B24" s="9" t="s">
        <v>44</v>
      </c>
      <c r="C24" s="13" t="n">
        <v>87</v>
      </c>
      <c r="D24" s="11" t="s">
        <v>45</v>
      </c>
      <c r="E24" s="12"/>
    </row>
    <row r="25" customFormat="false" ht="15" hidden="false" customHeight="true" outlineLevel="0" collapsed="false">
      <c r="B25" s="9" t="s">
        <v>46</v>
      </c>
      <c r="C25" s="13" t="s">
        <v>47</v>
      </c>
      <c r="D25" s="11" t="s">
        <v>48</v>
      </c>
      <c r="E25" s="12"/>
    </row>
    <row r="26" customFormat="false" ht="15" hidden="false" customHeight="true" outlineLevel="0" collapsed="false">
      <c r="B26" s="9" t="s">
        <v>49</v>
      </c>
      <c r="C26" s="10" t="n">
        <v>1</v>
      </c>
      <c r="D26" s="11" t="s">
        <v>50</v>
      </c>
      <c r="E26" s="12"/>
    </row>
    <row r="27" customFormat="false" ht="15" hidden="false" customHeight="true" outlineLevel="0" collapsed="false">
      <c r="B27" s="9" t="s">
        <v>51</v>
      </c>
      <c r="C27" s="14" t="n">
        <f aca="false">IF(C15="Yes",C18-C19,0)</f>
        <v>470000</v>
      </c>
      <c r="D27" s="11" t="s">
        <v>52</v>
      </c>
      <c r="E27" s="12"/>
    </row>
    <row r="28" customFormat="false" ht="15" hidden="false" customHeight="true" outlineLevel="0" collapsed="false">
      <c r="B28" s="9" t="s">
        <v>53</v>
      </c>
      <c r="C28" s="14" t="n">
        <f aca="false">IF(C15="Yes",C18-C19-C18*0.02,0)</f>
        <v>457000</v>
      </c>
      <c r="D28" s="11" t="s">
        <v>54</v>
      </c>
      <c r="E28" s="12"/>
    </row>
    <row r="30" customFormat="false" ht="15" hidden="false" customHeight="true" outlineLevel="0" collapsed="false">
      <c r="B30" s="7" t="s">
        <v>55</v>
      </c>
      <c r="C30" s="8"/>
      <c r="D30" s="8"/>
      <c r="E30" s="8"/>
    </row>
    <row r="31" customFormat="false" ht="15" hidden="false" customHeight="true" outlineLevel="0" collapsed="false">
      <c r="B31" s="15" t="s">
        <v>56</v>
      </c>
    </row>
    <row r="32" customFormat="false" ht="23.25" hidden="false" customHeight="true" outlineLevel="0" collapsed="false">
      <c r="B32" s="9" t="s">
        <v>57</v>
      </c>
      <c r="C32" s="10" t="n">
        <v>11279</v>
      </c>
      <c r="D32" s="11" t="s">
        <v>58</v>
      </c>
      <c r="E32" s="12"/>
    </row>
    <row r="33" customFormat="false" ht="15" hidden="false" customHeight="true" outlineLevel="0" collapsed="false">
      <c r="B33" s="9" t="s">
        <v>59</v>
      </c>
      <c r="C33" s="13" t="s">
        <v>60</v>
      </c>
      <c r="D33" s="11" t="s">
        <v>61</v>
      </c>
      <c r="E33" s="12"/>
    </row>
    <row r="34" customFormat="false" ht="15" hidden="false" customHeight="true" outlineLevel="0" collapsed="false">
      <c r="B34" s="9" t="s">
        <v>62</v>
      </c>
      <c r="C34" s="13" t="n">
        <v>5</v>
      </c>
      <c r="D34" s="11" t="s">
        <v>63</v>
      </c>
      <c r="E34" s="12"/>
    </row>
    <row r="35" customFormat="false" ht="15" hidden="false" customHeight="true" outlineLevel="0" collapsed="false">
      <c r="B35" s="9" t="s">
        <v>64</v>
      </c>
      <c r="C35" s="10" t="s">
        <v>65</v>
      </c>
      <c r="D35" s="11" t="s">
        <v>66</v>
      </c>
      <c r="E35" s="12"/>
    </row>
    <row r="36" customFormat="false" ht="15" hidden="false" customHeight="true" outlineLevel="0" collapsed="false">
      <c r="B36" s="9" t="s">
        <v>67</v>
      </c>
      <c r="C36" s="13" t="n">
        <v>0.37</v>
      </c>
      <c r="D36" s="11" t="s">
        <v>68</v>
      </c>
      <c r="E36" s="12"/>
    </row>
    <row r="37" customFormat="false" ht="15" hidden="false" customHeight="true" outlineLevel="0" collapsed="false">
      <c r="B37" s="9" t="s">
        <v>69</v>
      </c>
      <c r="C37" s="13" t="n">
        <v>0.6217</v>
      </c>
      <c r="D37" s="11" t="s">
        <v>70</v>
      </c>
      <c r="E37" s="12"/>
    </row>
    <row r="38" customFormat="false" ht="15" hidden="false" customHeight="true" outlineLevel="0" collapsed="false">
      <c r="B38" s="15" t="s">
        <v>71</v>
      </c>
    </row>
    <row r="39" customFormat="false" ht="26.25" hidden="false" customHeight="true" outlineLevel="0" collapsed="false">
      <c r="B39" s="9" t="s">
        <v>72</v>
      </c>
      <c r="C39" s="13" t="n">
        <v>0</v>
      </c>
      <c r="D39" s="11" t="s">
        <v>73</v>
      </c>
      <c r="E39" s="12"/>
    </row>
    <row r="40" customFormat="false" ht="15" hidden="false" customHeight="true" outlineLevel="0" collapsed="false">
      <c r="B40" s="9" t="s">
        <v>74</v>
      </c>
      <c r="C40" s="13" t="s">
        <v>75</v>
      </c>
      <c r="D40" s="11" t="s">
        <v>76</v>
      </c>
      <c r="E40" s="12"/>
    </row>
    <row r="41" customFormat="false" ht="15" hidden="false" customHeight="true" outlineLevel="0" collapsed="false">
      <c r="B41" s="9" t="s">
        <v>77</v>
      </c>
      <c r="C41" s="13" t="n">
        <v>0</v>
      </c>
      <c r="D41" s="11" t="s">
        <v>78</v>
      </c>
      <c r="E41" s="12"/>
    </row>
    <row r="42" customFormat="false" ht="15" hidden="false" customHeight="true" outlineLevel="0" collapsed="false">
      <c r="B42" s="9" t="s">
        <v>79</v>
      </c>
      <c r="C42" s="13" t="n">
        <v>0</v>
      </c>
      <c r="D42" s="11" t="s">
        <v>78</v>
      </c>
      <c r="E42" s="12"/>
    </row>
    <row r="43" customFormat="false" ht="15" hidden="false" customHeight="true" outlineLevel="0" collapsed="false">
      <c r="B43" s="15" t="s">
        <v>80</v>
      </c>
    </row>
    <row r="44" customFormat="false" ht="23.25" hidden="false" customHeight="true" outlineLevel="0" collapsed="false">
      <c r="B44" s="9" t="s">
        <v>81</v>
      </c>
      <c r="C44" s="13" t="n">
        <v>4500</v>
      </c>
      <c r="D44" s="11" t="s">
        <v>82</v>
      </c>
      <c r="E44" s="12"/>
    </row>
    <row r="45" customFormat="false" ht="15" hidden="false" customHeight="true" outlineLevel="0" collapsed="false">
      <c r="B45" s="9" t="s">
        <v>83</v>
      </c>
      <c r="C45" s="14" t="n">
        <f aca="false">C32+C39</f>
        <v>11279</v>
      </c>
      <c r="D45" s="11" t="s">
        <v>84</v>
      </c>
      <c r="E45" s="12"/>
    </row>
    <row r="46" customFormat="false" ht="15" hidden="false" customHeight="true" outlineLevel="0" collapsed="false">
      <c r="B46" s="9" t="s">
        <v>85</v>
      </c>
      <c r="C46" s="14" t="n">
        <f aca="false">C32*(1-C36*0.2/0.37)+C39*(1-IF(C39&gt;0,C41*0.2/0.37,0))+C44</f>
        <v>13523.2</v>
      </c>
      <c r="D46" s="11" t="s">
        <v>86</v>
      </c>
      <c r="E46" s="12"/>
    </row>
    <row r="47" customFormat="false" ht="15" hidden="false" customHeight="true" outlineLevel="0" collapsed="false">
      <c r="B47" s="9" t="s">
        <v>87</v>
      </c>
      <c r="C47" s="14" t="n">
        <f aca="false">C32*C36*C37</f>
        <v>2594.497091</v>
      </c>
      <c r="D47" s="11" t="s">
        <v>88</v>
      </c>
      <c r="E47" s="12"/>
    </row>
    <row r="48" customFormat="false" ht="15" hidden="false" customHeight="true" outlineLevel="0" collapsed="false">
      <c r="B48" s="9" t="s">
        <v>89</v>
      </c>
      <c r="C48" s="14" t="n">
        <f aca="false">C39*C41*C42</f>
        <v>0</v>
      </c>
      <c r="D48" s="11" t="s">
        <v>90</v>
      </c>
      <c r="E48" s="12"/>
    </row>
    <row r="49" customFormat="false" ht="15" hidden="false" customHeight="true" outlineLevel="0" collapsed="false">
      <c r="B49" s="9" t="s">
        <v>91</v>
      </c>
      <c r="C49" s="14" t="n">
        <f aca="false">C47+C48</f>
        <v>2594.497091</v>
      </c>
      <c r="D49" s="11" t="s">
        <v>92</v>
      </c>
      <c r="E49" s="12"/>
    </row>
    <row r="51" customFormat="false" ht="15" hidden="false" customHeight="true" outlineLevel="0" collapsed="false">
      <c r="B51" s="7" t="s">
        <v>93</v>
      </c>
      <c r="C51" s="8"/>
      <c r="D51" s="8"/>
      <c r="E51" s="8"/>
    </row>
    <row r="52" customFormat="false" ht="15" hidden="false" customHeight="true" outlineLevel="0" collapsed="false">
      <c r="B52" s="16" t="s">
        <v>94</v>
      </c>
      <c r="C52" s="16"/>
      <c r="D52" s="16"/>
      <c r="E52" s="16"/>
    </row>
    <row r="53" customFormat="false" ht="15" hidden="false" customHeight="true" outlineLevel="0" collapsed="false">
      <c r="B53" s="9" t="s">
        <v>95</v>
      </c>
      <c r="C53" s="13" t="n">
        <v>0</v>
      </c>
      <c r="D53" s="11" t="s">
        <v>96</v>
      </c>
      <c r="E53" s="12"/>
    </row>
    <row r="54" customFormat="false" ht="15" hidden="false" customHeight="true" outlineLevel="0" collapsed="false">
      <c r="B54" s="9" t="s">
        <v>97</v>
      </c>
      <c r="C54" s="13" t="n">
        <v>0</v>
      </c>
      <c r="D54" s="11" t="s">
        <v>98</v>
      </c>
      <c r="E54" s="12"/>
    </row>
    <row r="55" customFormat="false" ht="15" hidden="false" customHeight="true" outlineLevel="0" collapsed="false">
      <c r="B55" s="9" t="s">
        <v>99</v>
      </c>
      <c r="C55" s="13" t="n">
        <v>0</v>
      </c>
      <c r="D55" s="11" t="s">
        <v>100</v>
      </c>
      <c r="E55" s="12"/>
    </row>
    <row r="56" customFormat="false" ht="15" hidden="false" customHeight="true" outlineLevel="0" collapsed="false">
      <c r="B56" s="9" t="s">
        <v>101</v>
      </c>
      <c r="C56" s="13" t="n">
        <v>0</v>
      </c>
      <c r="D56" s="11" t="s">
        <v>102</v>
      </c>
      <c r="E56" s="12"/>
    </row>
    <row r="57" customFormat="false" ht="15" hidden="false" customHeight="true" outlineLevel="0" collapsed="false">
      <c r="B57" s="9" t="s">
        <v>103</v>
      </c>
      <c r="C57" s="13" t="n">
        <v>0</v>
      </c>
      <c r="D57" s="11" t="s">
        <v>104</v>
      </c>
      <c r="E57" s="12"/>
    </row>
    <row r="58" customFormat="false" ht="15" hidden="false" customHeight="true" outlineLevel="0" collapsed="false">
      <c r="B58" s="9" t="s">
        <v>105</v>
      </c>
      <c r="C58" s="14" t="n">
        <f aca="false">SUM(C53:C57)</f>
        <v>0</v>
      </c>
      <c r="D58" s="11" t="s">
        <v>106</v>
      </c>
      <c r="E58" s="12"/>
    </row>
    <row r="60" customFormat="false" ht="15" hidden="false" customHeight="true" outlineLevel="0" collapsed="false">
      <c r="B60" s="7" t="s">
        <v>107</v>
      </c>
      <c r="C60" s="8"/>
      <c r="D60" s="8"/>
      <c r="E60" s="8"/>
    </row>
    <row r="61" customFormat="false" ht="15" hidden="false" customHeight="true" outlineLevel="0" collapsed="false">
      <c r="B61" s="16" t="s">
        <v>108</v>
      </c>
      <c r="C61" s="16"/>
      <c r="D61" s="16"/>
      <c r="E61" s="16"/>
    </row>
    <row r="62" customFormat="false" ht="15" hidden="false" customHeight="true" outlineLevel="0" collapsed="false">
      <c r="B62" s="9" t="s">
        <v>109</v>
      </c>
      <c r="C62" s="10" t="n">
        <v>120000</v>
      </c>
      <c r="D62" s="11" t="s">
        <v>110</v>
      </c>
      <c r="E62" s="12"/>
    </row>
    <row r="63" customFormat="false" ht="15" hidden="false" customHeight="true" outlineLevel="0" collapsed="false">
      <c r="B63" s="9" t="s">
        <v>111</v>
      </c>
      <c r="C63" s="13" t="n">
        <v>0</v>
      </c>
      <c r="D63" s="11" t="s">
        <v>78</v>
      </c>
      <c r="E63" s="12"/>
    </row>
    <row r="64" customFormat="false" ht="15" hidden="false" customHeight="true" outlineLevel="0" collapsed="false">
      <c r="B64" s="9" t="s">
        <v>112</v>
      </c>
      <c r="C64" s="10" t="n">
        <v>200000</v>
      </c>
      <c r="D64" s="11" t="s">
        <v>113</v>
      </c>
      <c r="E64" s="12"/>
    </row>
    <row r="65" customFormat="false" ht="15" hidden="false" customHeight="true" outlineLevel="0" collapsed="false">
      <c r="B65" s="9" t="s">
        <v>114</v>
      </c>
      <c r="C65" s="13" t="n">
        <v>50000</v>
      </c>
      <c r="D65" s="11" t="s">
        <v>115</v>
      </c>
      <c r="E65" s="12"/>
    </row>
    <row r="66" customFormat="false" ht="15" hidden="false" customHeight="true" outlineLevel="0" collapsed="false">
      <c r="B66" s="9" t="s">
        <v>116</v>
      </c>
      <c r="C66" s="13" t="n">
        <v>0</v>
      </c>
      <c r="D66" s="11" t="s">
        <v>117</v>
      </c>
      <c r="E66" s="12"/>
    </row>
    <row r="67" customFormat="false" ht="15" hidden="false" customHeight="true" outlineLevel="0" collapsed="false">
      <c r="B67" s="9" t="s">
        <v>118</v>
      </c>
      <c r="C67" s="14" t="n">
        <f aca="false">SUM(C62:C66)</f>
        <v>370000</v>
      </c>
      <c r="D67" s="11" t="s">
        <v>119</v>
      </c>
      <c r="E67" s="12"/>
    </row>
    <row r="68" customFormat="false" ht="15" hidden="false" customHeight="true" outlineLevel="0" collapsed="false">
      <c r="B68" s="9" t="s">
        <v>120</v>
      </c>
      <c r="C68" s="14" t="n">
        <f aca="false">C67+C28</f>
        <v>827000</v>
      </c>
      <c r="D68" s="11" t="s">
        <v>121</v>
      </c>
      <c r="E68" s="12"/>
    </row>
    <row r="70" customFormat="false" ht="15" hidden="false" customHeight="true" outlineLevel="0" collapsed="false">
      <c r="B70" s="7" t="s">
        <v>122</v>
      </c>
      <c r="C70" s="8"/>
      <c r="D70" s="8"/>
      <c r="E70" s="8"/>
    </row>
    <row r="71" customFormat="false" ht="15" hidden="false" customHeight="true" outlineLevel="0" collapsed="false">
      <c r="B71" s="9" t="s">
        <v>123</v>
      </c>
      <c r="C71" s="13" t="n">
        <v>5000</v>
      </c>
      <c r="D71" s="11" t="s">
        <v>124</v>
      </c>
      <c r="E71" s="12"/>
    </row>
    <row r="72" customFormat="false" ht="15" hidden="false" customHeight="true" outlineLevel="0" collapsed="false">
      <c r="B72" s="9" t="s">
        <v>125</v>
      </c>
      <c r="C72" s="13" t="n">
        <v>500</v>
      </c>
      <c r="D72" s="11" t="s">
        <v>126</v>
      </c>
      <c r="E72" s="12"/>
    </row>
    <row r="73" customFormat="false" ht="15" hidden="false" customHeight="true" outlineLevel="0" collapsed="false">
      <c r="B73" s="9" t="s">
        <v>127</v>
      </c>
      <c r="C73" s="13" t="n">
        <v>0</v>
      </c>
      <c r="D73" s="11" t="s">
        <v>128</v>
      </c>
      <c r="E73" s="12"/>
    </row>
    <row r="74" customFormat="false" ht="15" hidden="false" customHeight="true" outlineLevel="0" collapsed="false">
      <c r="B74" s="9" t="s">
        <v>129</v>
      </c>
      <c r="C74" s="13" t="n">
        <v>350</v>
      </c>
      <c r="D74" s="11" t="s">
        <v>130</v>
      </c>
      <c r="E74" s="12"/>
    </row>
    <row r="75" customFormat="false" ht="15" hidden="false" customHeight="true" outlineLevel="0" collapsed="false">
      <c r="B75" s="9" t="s">
        <v>131</v>
      </c>
      <c r="C75" s="13" t="n">
        <v>0</v>
      </c>
      <c r="D75" s="11" t="s">
        <v>132</v>
      </c>
      <c r="E75" s="12"/>
    </row>
    <row r="76" customFormat="false" ht="23.25" hidden="false" customHeight="true" outlineLevel="0" collapsed="false">
      <c r="B76" s="9" t="s">
        <v>133</v>
      </c>
      <c r="C76" s="14" t="n">
        <f aca="false">SUM(C71:C75)</f>
        <v>5850</v>
      </c>
      <c r="D76" s="11" t="s">
        <v>134</v>
      </c>
      <c r="E76" s="12"/>
    </row>
    <row r="78" customFormat="false" ht="15" hidden="false" customHeight="true" outlineLevel="0" collapsed="false">
      <c r="B78" s="7" t="s">
        <v>135</v>
      </c>
      <c r="C78" s="8"/>
      <c r="D78" s="8"/>
      <c r="E78" s="8"/>
    </row>
    <row r="79" customFormat="false" ht="23.25" hidden="false" customHeight="true" outlineLevel="0" collapsed="false">
      <c r="B79" s="9" t="s">
        <v>136</v>
      </c>
      <c r="C79" s="10" t="s">
        <v>137</v>
      </c>
      <c r="D79" s="11" t="s">
        <v>138</v>
      </c>
      <c r="E79" s="12"/>
    </row>
    <row r="80" customFormat="false" ht="15" hidden="false" customHeight="true" outlineLevel="0" collapsed="false">
      <c r="B80" s="9" t="s">
        <v>139</v>
      </c>
      <c r="C80" s="10" t="s">
        <v>140</v>
      </c>
      <c r="D80" s="11" t="s">
        <v>141</v>
      </c>
      <c r="E80" s="12"/>
    </row>
    <row r="81" customFormat="false" ht="15" hidden="false" customHeight="true" outlineLevel="0" collapsed="false">
      <c r="B81" s="9" t="s">
        <v>142</v>
      </c>
      <c r="C81" s="13" t="s">
        <v>143</v>
      </c>
      <c r="D81" s="11" t="s">
        <v>144</v>
      </c>
      <c r="E81" s="12"/>
    </row>
    <row r="82" customFormat="false" ht="23.25" hidden="false" customHeight="true" outlineLevel="0" collapsed="false">
      <c r="B82" s="9" t="s">
        <v>145</v>
      </c>
      <c r="C82" s="13" t="s">
        <v>146</v>
      </c>
      <c r="D82" s="11" t="s">
        <v>147</v>
      </c>
      <c r="E82" s="12"/>
    </row>
    <row r="83" customFormat="false" ht="15" hidden="false" customHeight="true" outlineLevel="0" collapsed="false">
      <c r="B83" s="9" t="s">
        <v>148</v>
      </c>
      <c r="C83" s="13"/>
      <c r="D83" s="11" t="s">
        <v>149</v>
      </c>
      <c r="E83" s="12"/>
    </row>
    <row r="84" customFormat="false" ht="15" hidden="false" customHeight="true" outlineLevel="0" collapsed="false">
      <c r="B84" s="9" t="s">
        <v>150</v>
      </c>
      <c r="C84" s="13"/>
      <c r="D84" s="11" t="s">
        <v>151</v>
      </c>
      <c r="E84" s="12"/>
    </row>
    <row r="85" customFormat="false" ht="15" hidden="false" customHeight="true" outlineLevel="0" collapsed="false">
      <c r="B85" s="9" t="s">
        <v>152</v>
      </c>
      <c r="C85" s="13" t="s">
        <v>153</v>
      </c>
      <c r="D85" s="11" t="s">
        <v>154</v>
      </c>
      <c r="E85" s="12"/>
    </row>
    <row r="86" customFormat="false" ht="15" hidden="false" customHeight="true" outlineLevel="0" collapsed="false">
      <c r="B86" s="9" t="s">
        <v>155</v>
      </c>
      <c r="C86" s="13"/>
      <c r="D86" s="11" t="s">
        <v>156</v>
      </c>
      <c r="E86" s="12"/>
    </row>
    <row r="87" customFormat="false" ht="15" hidden="false" customHeight="true" outlineLevel="0" collapsed="false">
      <c r="B87" s="9" t="s">
        <v>157</v>
      </c>
      <c r="C87" s="13"/>
      <c r="D87" s="11" t="s">
        <v>158</v>
      </c>
      <c r="E87" s="12"/>
    </row>
    <row r="88" customFormat="false" ht="15" hidden="false" customHeight="true" outlineLevel="0" collapsed="false">
      <c r="B88" s="9" t="s">
        <v>159</v>
      </c>
      <c r="C88" s="10" t="n">
        <v>1400000</v>
      </c>
      <c r="D88" s="11" t="s">
        <v>160</v>
      </c>
      <c r="E88" s="12"/>
    </row>
    <row r="89" customFormat="false" ht="15" hidden="false" customHeight="true" outlineLevel="0" collapsed="false">
      <c r="B89" s="9" t="s">
        <v>161</v>
      </c>
      <c r="C89" s="10" t="n">
        <v>2000</v>
      </c>
      <c r="D89" s="11" t="s">
        <v>162</v>
      </c>
      <c r="E89" s="12"/>
    </row>
    <row r="90" customFormat="false" ht="23.25" hidden="false" customHeight="true" outlineLevel="0" collapsed="false">
      <c r="B90" s="9" t="s">
        <v>163</v>
      </c>
      <c r="C90" s="13" t="n">
        <v>0.1</v>
      </c>
      <c r="D90" s="11" t="s">
        <v>164</v>
      </c>
      <c r="E90" s="12"/>
    </row>
    <row r="92" customFormat="false" ht="15" hidden="false" customHeight="true" outlineLevel="0" collapsed="false">
      <c r="B92" s="7" t="s">
        <v>165</v>
      </c>
      <c r="C92" s="8"/>
      <c r="D92" s="8"/>
      <c r="E92" s="8"/>
    </row>
    <row r="93" customFormat="false" ht="15" hidden="false" customHeight="true" outlineLevel="0" collapsed="false">
      <c r="B93" s="16" t="s">
        <v>166</v>
      </c>
      <c r="C93" s="16"/>
      <c r="D93" s="16"/>
      <c r="E93" s="16"/>
    </row>
    <row r="94" customFormat="false" ht="23.25" hidden="false" customHeight="true" outlineLevel="0" collapsed="false">
      <c r="B94" s="9" t="s">
        <v>167</v>
      </c>
      <c r="C94" s="14" t="n">
        <f aca="false">IF(C9="Foreigner",0.6,IF(C9="PR",IF(C26&gt;=2,0.3,IF(C26&gt;=1,0.05,0)),IF(C26&gt;=3,0.35,IF(C26&gt;=2,0.2,0))))</f>
        <v>0</v>
      </c>
      <c r="D94" s="11" t="s">
        <v>168</v>
      </c>
      <c r="E94" s="12"/>
    </row>
    <row r="95" customFormat="false" ht="23.25" hidden="false" customHeight="true" outlineLevel="0" collapsed="false">
      <c r="B95" s="9" t="s">
        <v>169</v>
      </c>
      <c r="C95" s="14" t="n">
        <f aca="false">IF(C45&gt;0,ROUND((C45*0.55-C56)/0.004774/0.75,-4),0)</f>
        <v>1730000</v>
      </c>
      <c r="D95" s="11" t="s">
        <v>170</v>
      </c>
      <c r="E95" s="12"/>
    </row>
    <row r="96" customFormat="false" ht="15" hidden="false" customHeight="true" outlineLevel="0" collapsed="false">
      <c r="B96" s="9" t="s">
        <v>171</v>
      </c>
      <c r="C96" s="14" t="n">
        <f aca="false">C45*0.55-C56</f>
        <v>6203.45</v>
      </c>
      <c r="D96" s="11" t="s">
        <v>172</v>
      </c>
      <c r="E96" s="12"/>
    </row>
    <row r="97" customFormat="false" ht="23.25" hidden="false" customHeight="true" outlineLevel="0" collapsed="false">
      <c r="B97" s="9" t="s">
        <v>173</v>
      </c>
      <c r="C97" s="14" t="str">
        <f aca="false">IF(C68&gt;=C88*0.3,"Sufficient","Shortfall")</f>
        <v>Sufficient</v>
      </c>
      <c r="D97" s="11" t="s">
        <v>174</v>
      </c>
      <c r="E97" s="12"/>
    </row>
    <row r="99" customFormat="false" ht="15" hidden="false" customHeight="true" outlineLevel="0" collapsed="false">
      <c r="B99" s="16" t="s">
        <v>175</v>
      </c>
      <c r="C99" s="16"/>
      <c r="D99" s="16"/>
      <c r="E99" s="16"/>
    </row>
  </sheetData>
  <mergeCells count="4">
    <mergeCell ref="B52:E52"/>
    <mergeCell ref="B61:E61"/>
    <mergeCell ref="B93:E93"/>
    <mergeCell ref="B99:E99"/>
  </mergeCells>
  <dataValidations count="5">
    <dataValidation allowBlank="true" error="Please select SC, PR, or Foreigner" errorStyle="stop" operator="between" showDropDown="false" showErrorMessage="false" showInputMessage="false" sqref="C9" type="list">
      <formula1>"SC,PR,Foreigner"</formula1>
      <formula2>0</formula2>
    </dataValidation>
    <dataValidation allowBlank="true" errorStyle="stop" operator="between" showDropDown="false" showErrorMessage="false" showInputMessage="false" sqref="C11" type="list">
      <formula1>"Single,Married,Divorced,Widowed"</formula1>
      <formula2>0</formula2>
    </dataValidation>
    <dataValidation allowBlank="true" errorStyle="stop" operator="between" showDropDown="false" showErrorMessage="false" showInputMessage="false" sqref="C79" type="list">
      <formula1>"Sell HDB → Buy Condo,Buy 1st Investment (SC),Status Quo vs Upgrade,Sell 1 → Buy 2,HDB to HDB"</formula1>
      <formula2>0</formula2>
    </dataValidation>
    <dataValidation allowBlank="true" errorStyle="stop" operator="between" showDropDown="false" showErrorMessage="false" showInputMessage="false" sqref="C80" type="list">
      <formula1>"Conservative,Balanced,Aggressive"</formula1>
      <formula2>0</formula2>
    </dataValidation>
    <dataValidation allowBlank="true" errorStyle="stop" operator="between" showDropDown="false" showErrorMessage="false" showInputMessage="false" sqref="C82" type="list">
      <formula1>"Own Stay,Pure Investment (Rental),Own Stay + Investment"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5" min="3" style="1" width="18"/>
    <col collapsed="false" customWidth="true" hidden="false" outlineLevel="0" max="6" min="6" style="1" width="40"/>
  </cols>
  <sheetData>
    <row r="1" customFormat="false" ht="15" hidden="false" customHeight="true" outlineLevel="0" collapsed="false">
      <c r="A1" s="2"/>
      <c r="B1" s="17" t="s">
        <v>176</v>
      </c>
      <c r="C1" s="2"/>
      <c r="D1" s="2"/>
      <c r="E1" s="2"/>
      <c r="F1" s="2"/>
    </row>
    <row r="3" customFormat="false" ht="15" hidden="false" customHeight="true" outlineLevel="0" collapsed="false">
      <c r="B3" s="18" t="s">
        <v>177</v>
      </c>
      <c r="C3" s="18" t="s">
        <v>178</v>
      </c>
      <c r="D3" s="18" t="s">
        <v>179</v>
      </c>
      <c r="E3" s="18" t="s">
        <v>180</v>
      </c>
      <c r="F3" s="18" t="s">
        <v>181</v>
      </c>
    </row>
    <row r="4" customFormat="false" ht="15" hidden="false" customHeight="true" outlineLevel="0" collapsed="false">
      <c r="B4" s="19" t="s">
        <v>182</v>
      </c>
      <c r="C4" s="20" t="n">
        <v>0.37</v>
      </c>
      <c r="D4" s="20" t="n">
        <v>0.2</v>
      </c>
      <c r="E4" s="20" t="n">
        <v>0.6217</v>
      </c>
      <c r="F4" s="19" t="s">
        <v>183</v>
      </c>
    </row>
    <row r="5" customFormat="false" ht="15" hidden="false" customHeight="true" outlineLevel="0" collapsed="false">
      <c r="B5" s="19" t="s">
        <v>184</v>
      </c>
      <c r="C5" s="20" t="n">
        <v>0.37</v>
      </c>
      <c r="D5" s="20" t="n">
        <v>0.2</v>
      </c>
      <c r="E5" s="20" t="n">
        <v>0.5677</v>
      </c>
      <c r="F5" s="19" t="s">
        <v>185</v>
      </c>
    </row>
    <row r="6" customFormat="false" ht="15" hidden="false" customHeight="true" outlineLevel="0" collapsed="false">
      <c r="B6" s="19" t="s">
        <v>186</v>
      </c>
      <c r="C6" s="20" t="n">
        <v>0.37</v>
      </c>
      <c r="D6" s="20" t="n">
        <v>0.2</v>
      </c>
      <c r="E6" s="20" t="n">
        <v>0.5136</v>
      </c>
      <c r="F6" s="19"/>
    </row>
    <row r="7" customFormat="false" ht="15" hidden="false" customHeight="true" outlineLevel="0" collapsed="false">
      <c r="B7" s="19" t="s">
        <v>187</v>
      </c>
      <c r="C7" s="20" t="n">
        <v>0.37</v>
      </c>
      <c r="D7" s="20" t="n">
        <v>0.2</v>
      </c>
      <c r="E7" s="20" t="n">
        <v>0.4055</v>
      </c>
      <c r="F7" s="19"/>
    </row>
    <row r="8" customFormat="false" ht="15" hidden="false" customHeight="true" outlineLevel="0" collapsed="false">
      <c r="B8" s="19" t="s">
        <v>188</v>
      </c>
      <c r="C8" s="20" t="n">
        <v>0.325</v>
      </c>
      <c r="D8" s="20" t="n">
        <v>0.15</v>
      </c>
      <c r="E8" s="20" t="n">
        <v>0.3872</v>
      </c>
      <c r="F8" s="19" t="s">
        <v>189</v>
      </c>
    </row>
    <row r="9" customFormat="false" ht="15" hidden="false" customHeight="true" outlineLevel="0" collapsed="false">
      <c r="B9" s="19" t="s">
        <v>190</v>
      </c>
      <c r="C9" s="20" t="n">
        <v>0.22</v>
      </c>
      <c r="D9" s="20" t="n">
        <v>0.095</v>
      </c>
      <c r="E9" s="20" t="n">
        <v>0.1592</v>
      </c>
      <c r="F9" s="19"/>
    </row>
    <row r="10" customFormat="false" ht="15" hidden="false" customHeight="true" outlineLevel="0" collapsed="false">
      <c r="B10" s="19" t="s">
        <v>191</v>
      </c>
      <c r="C10" s="20" t="n">
        <v>0.165</v>
      </c>
      <c r="D10" s="20" t="n">
        <v>0.075</v>
      </c>
      <c r="E10" s="20" t="n">
        <v>0.08</v>
      </c>
      <c r="F10" s="19"/>
    </row>
    <row r="13" customFormat="false" ht="15" hidden="false" customHeight="true" outlineLevel="0" collapsed="false">
      <c r="B13" s="21" t="s">
        <v>192</v>
      </c>
    </row>
    <row r="14" customFormat="false" ht="15" hidden="false" customHeight="true" outlineLevel="0" collapsed="false">
      <c r="B14" s="18" t="s">
        <v>193</v>
      </c>
      <c r="C14" s="18" t="s">
        <v>194</v>
      </c>
      <c r="D14" s="18" t="s">
        <v>195</v>
      </c>
    </row>
    <row r="15" customFormat="false" ht="15" hidden="false" customHeight="true" outlineLevel="0" collapsed="false">
      <c r="B15" s="19" t="s">
        <v>196</v>
      </c>
      <c r="C15" s="19" t="s">
        <v>197</v>
      </c>
      <c r="D15" s="19" t="n">
        <v>1800</v>
      </c>
    </row>
    <row r="16" customFormat="false" ht="15" hidden="false" customHeight="true" outlineLevel="0" collapsed="false">
      <c r="B16" s="19" t="s">
        <v>198</v>
      </c>
      <c r="C16" s="19" t="s">
        <v>199</v>
      </c>
      <c r="D16" s="19" t="n">
        <v>5400</v>
      </c>
    </row>
    <row r="17" customFormat="false" ht="15" hidden="false" customHeight="true" outlineLevel="0" collapsed="false">
      <c r="B17" s="19" t="s">
        <v>200</v>
      </c>
      <c r="C17" s="19" t="s">
        <v>201</v>
      </c>
      <c r="D17" s="19" t="n">
        <v>24600</v>
      </c>
    </row>
    <row r="18" customFormat="false" ht="15" hidden="false" customHeight="true" outlineLevel="0" collapsed="false">
      <c r="B18" s="19" t="s">
        <v>202</v>
      </c>
      <c r="C18" s="19" t="s">
        <v>203</v>
      </c>
      <c r="D18" s="19" t="n">
        <v>44600</v>
      </c>
    </row>
    <row r="19" customFormat="false" ht="15" hidden="false" customHeight="true" outlineLevel="0" collapsed="false">
      <c r="B19" s="19" t="s">
        <v>204</v>
      </c>
      <c r="C19" s="19" t="s">
        <v>205</v>
      </c>
      <c r="D19" s="19" t="n">
        <v>119600</v>
      </c>
    </row>
    <row r="20" customFormat="false" ht="15" hidden="false" customHeight="true" outlineLevel="0" collapsed="false">
      <c r="B20" s="19" t="s">
        <v>206</v>
      </c>
      <c r="C20" s="19" t="s">
        <v>207</v>
      </c>
      <c r="D20" s="19"/>
    </row>
    <row r="23" customFormat="false" ht="15" hidden="false" customHeight="true" outlineLevel="0" collapsed="false">
      <c r="B23" s="21" t="s">
        <v>208</v>
      </c>
    </row>
    <row r="24" customFormat="false" ht="15" hidden="false" customHeight="true" outlineLevel="0" collapsed="false">
      <c r="B24" s="18" t="s">
        <v>209</v>
      </c>
      <c r="C24" s="18" t="s">
        <v>210</v>
      </c>
      <c r="D24" s="18" t="s">
        <v>211</v>
      </c>
      <c r="E24" s="18" t="s">
        <v>212</v>
      </c>
    </row>
    <row r="25" customFormat="false" ht="15" hidden="false" customHeight="true" outlineLevel="0" collapsed="false">
      <c r="B25" s="19" t="s">
        <v>213</v>
      </c>
      <c r="C25" s="19" t="s">
        <v>214</v>
      </c>
      <c r="D25" s="19" t="s">
        <v>215</v>
      </c>
      <c r="E25" s="19" t="s">
        <v>216</v>
      </c>
    </row>
    <row r="26" customFormat="false" ht="15" hidden="false" customHeight="true" outlineLevel="0" collapsed="false">
      <c r="B26" s="19" t="s">
        <v>217</v>
      </c>
      <c r="C26" s="19" t="s">
        <v>205</v>
      </c>
      <c r="D26" s="19" t="s">
        <v>218</v>
      </c>
      <c r="E26" s="19" t="s">
        <v>216</v>
      </c>
    </row>
    <row r="27" customFormat="false" ht="15" hidden="false" customHeight="true" outlineLevel="0" collapsed="false">
      <c r="B27" s="19" t="s">
        <v>219</v>
      </c>
      <c r="C27" s="19" t="s">
        <v>220</v>
      </c>
      <c r="D27" s="19" t="s">
        <v>220</v>
      </c>
      <c r="E27" s="19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25"/>
    <col collapsed="false" customWidth="true" hidden="false" outlineLevel="0" max="4" min="4" style="1" width="15"/>
    <col collapsed="false" customWidth="true" hidden="false" outlineLevel="0" max="5" min="5" style="1" width="18"/>
    <col collapsed="false" customWidth="true" hidden="false" outlineLevel="0" max="6" min="6" style="1" width="22"/>
    <col collapsed="false" customWidth="true" hidden="false" outlineLevel="0" max="9" min="7" style="1" width="18"/>
    <col collapsed="false" customWidth="true" hidden="false" outlineLevel="0" max="11" min="10" style="1" width="15"/>
  </cols>
  <sheetData>
    <row r="1" customFormat="false" ht="15" hidden="false" customHeight="true" outlineLevel="0" collapsed="false">
      <c r="A1" s="2"/>
      <c r="B1" s="17" t="s">
        <v>221</v>
      </c>
      <c r="C1" s="2"/>
      <c r="D1" s="2"/>
      <c r="E1" s="2"/>
      <c r="F1" s="2"/>
      <c r="G1" s="2"/>
      <c r="H1" s="2"/>
      <c r="I1" s="2"/>
      <c r="J1" s="2"/>
      <c r="K1" s="2"/>
    </row>
    <row r="3" customFormat="false" ht="15" hidden="false" customHeight="true" outlineLevel="0" collapsed="false">
      <c r="B3" s="22" t="s">
        <v>222</v>
      </c>
      <c r="C3" s="22" t="s">
        <v>5</v>
      </c>
      <c r="D3" s="22" t="s">
        <v>136</v>
      </c>
      <c r="E3" s="22" t="s">
        <v>223</v>
      </c>
      <c r="F3" s="22" t="s">
        <v>224</v>
      </c>
      <c r="G3" s="22" t="s">
        <v>225</v>
      </c>
      <c r="H3" s="22" t="s">
        <v>226</v>
      </c>
      <c r="I3" s="22" t="s">
        <v>227</v>
      </c>
      <c r="J3" s="22" t="s">
        <v>228</v>
      </c>
      <c r="K3" s="22" t="s">
        <v>181</v>
      </c>
    </row>
    <row r="4" customFormat="false" ht="15" hidden="false" customHeight="true" outlineLevel="0" collapsed="false">
      <c r="B4" s="19" t="n">
        <v>1</v>
      </c>
      <c r="C4" s="23"/>
      <c r="D4" s="23"/>
      <c r="E4" s="24"/>
      <c r="F4" s="23"/>
      <c r="G4" s="24"/>
      <c r="H4" s="24"/>
      <c r="I4" s="24"/>
      <c r="J4" s="23"/>
      <c r="K4" s="23"/>
    </row>
    <row r="5" customFormat="false" ht="15" hidden="false" customHeight="true" outlineLevel="0" collapsed="false">
      <c r="B5" s="19" t="n">
        <v>2</v>
      </c>
      <c r="C5" s="23"/>
      <c r="D5" s="23"/>
      <c r="E5" s="24"/>
      <c r="F5" s="23"/>
      <c r="G5" s="24"/>
      <c r="H5" s="24"/>
      <c r="I5" s="24"/>
      <c r="J5" s="23"/>
      <c r="K5" s="23"/>
    </row>
    <row r="6" customFormat="false" ht="15" hidden="false" customHeight="true" outlineLevel="0" collapsed="false">
      <c r="B6" s="19" t="n">
        <v>3</v>
      </c>
      <c r="C6" s="23"/>
      <c r="D6" s="23"/>
      <c r="E6" s="24"/>
      <c r="F6" s="23"/>
      <c r="G6" s="24"/>
      <c r="H6" s="24"/>
      <c r="I6" s="24"/>
      <c r="J6" s="23"/>
      <c r="K6" s="23"/>
    </row>
    <row r="7" customFormat="false" ht="15" hidden="false" customHeight="true" outlineLevel="0" collapsed="false">
      <c r="B7" s="19" t="n">
        <v>4</v>
      </c>
      <c r="C7" s="23"/>
      <c r="D7" s="23"/>
      <c r="E7" s="24"/>
      <c r="F7" s="23"/>
      <c r="G7" s="24"/>
      <c r="H7" s="24"/>
      <c r="I7" s="24"/>
      <c r="J7" s="23"/>
      <c r="K7" s="23"/>
    </row>
    <row r="8" customFormat="false" ht="15" hidden="false" customHeight="true" outlineLevel="0" collapsed="false">
      <c r="B8" s="19" t="n">
        <v>5</v>
      </c>
      <c r="C8" s="23"/>
      <c r="D8" s="23"/>
      <c r="E8" s="24"/>
      <c r="F8" s="23"/>
      <c r="G8" s="24"/>
      <c r="H8" s="24"/>
      <c r="I8" s="24"/>
      <c r="J8" s="23"/>
      <c r="K8" s="23"/>
    </row>
    <row r="9" customFormat="false" ht="15" hidden="false" customHeight="true" outlineLevel="0" collapsed="false">
      <c r="B9" s="19" t="n">
        <v>6</v>
      </c>
      <c r="C9" s="23"/>
      <c r="D9" s="23"/>
      <c r="E9" s="24"/>
      <c r="F9" s="23"/>
      <c r="G9" s="24"/>
      <c r="H9" s="24"/>
      <c r="I9" s="24"/>
      <c r="J9" s="23"/>
      <c r="K9" s="23"/>
    </row>
    <row r="10" customFormat="false" ht="15" hidden="false" customHeight="true" outlineLevel="0" collapsed="false">
      <c r="B10" s="19" t="n">
        <v>7</v>
      </c>
      <c r="C10" s="23"/>
      <c r="D10" s="23"/>
      <c r="E10" s="24"/>
      <c r="F10" s="23"/>
      <c r="G10" s="24"/>
      <c r="H10" s="24"/>
      <c r="I10" s="24"/>
      <c r="J10" s="23"/>
      <c r="K10" s="23"/>
    </row>
    <row r="11" customFormat="false" ht="15" hidden="false" customHeight="true" outlineLevel="0" collapsed="false">
      <c r="B11" s="19" t="n">
        <v>8</v>
      </c>
      <c r="C11" s="23"/>
      <c r="D11" s="23"/>
      <c r="E11" s="24"/>
      <c r="F11" s="23"/>
      <c r="G11" s="24"/>
      <c r="H11" s="24"/>
      <c r="I11" s="24"/>
      <c r="J11" s="23"/>
      <c r="K11" s="23"/>
    </row>
    <row r="12" customFormat="false" ht="15" hidden="false" customHeight="true" outlineLevel="0" collapsed="false">
      <c r="B12" s="19" t="n">
        <v>9</v>
      </c>
      <c r="C12" s="23"/>
      <c r="D12" s="23"/>
      <c r="E12" s="24"/>
      <c r="F12" s="23"/>
      <c r="G12" s="24"/>
      <c r="H12" s="24"/>
      <c r="I12" s="24"/>
      <c r="J12" s="23"/>
      <c r="K12" s="23"/>
    </row>
    <row r="13" customFormat="false" ht="15" hidden="false" customHeight="true" outlineLevel="0" collapsed="false">
      <c r="B13" s="19" t="n">
        <v>10</v>
      </c>
      <c r="C13" s="23"/>
      <c r="D13" s="23"/>
      <c r="E13" s="24"/>
      <c r="F13" s="23"/>
      <c r="G13" s="24"/>
      <c r="H13" s="24"/>
      <c r="I13" s="24"/>
      <c r="J13" s="23"/>
      <c r="K13" s="23"/>
    </row>
  </sheetData>
  <dataValidations count="1">
    <dataValidation allowBlank="true" errorStyle="stop" operator="between" showDropDown="false" showErrorMessage="false" showInputMessage="false" sqref="F4:F13" type="list">
      <formula1>"Intake,Analysis,Shortlisting,Consultation,Report Sent,Closed"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2026-04-04T03:29:41Z</dcterms:created>
  <dc:creator>openpyxl</dc:creator>
  <dc:description/>
  <dc:language>en-US</dc:language>
  <cp:lastModifiedBy/>
  <dcterms:modified xsi:type="dcterms:W3CDTF">2026-04-04T03:31:52Z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