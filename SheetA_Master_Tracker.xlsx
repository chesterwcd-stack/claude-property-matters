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ent Tracker" sheetId="1" state="visible" r:id="rId3"/>
    <sheet name="Pipeline Summary" sheetId="2" state="visible" r:id="rId4"/>
    <sheet name="How to Us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<sst xmlns="http://schemas.openxmlformats.org/spreadsheetml/2006/main" count="80" uniqueCount="74">
  <si>
    <t xml:space="preserve">META
#</t>
  </si>
  <si>
    <t xml:space="preserve">META
Client ID</t>
  </si>
  <si>
    <t xml:space="preserve">META
Client Name</t>
  </si>
  <si>
    <t xml:space="preserve">META
Stage</t>
  </si>
  <si>
    <t xml:space="preserve">META
Consult Date</t>
  </si>
  <si>
    <t xml:space="preserve">IDENTITY
Residency</t>
  </si>
  <si>
    <t xml:space="preserve">IDENTITY
Age</t>
  </si>
  <si>
    <t xml:space="preserve">GOALS
Primary Goal</t>
  </si>
  <si>
    <t xml:space="preserve">INCOME
Gross ($A)</t>
  </si>
  <si>
    <t xml:space="preserve">INCOME
Gross ($B)</t>
  </si>
  <si>
    <t xml:space="preserve">INCOME
Add. Income</t>
  </si>
  <si>
    <t xml:space="preserve">INCOME
Commitments</t>
  </si>
  <si>
    <t xml:space="preserve">PROPERTY
Owns Prop?</t>
  </si>
  <si>
    <t xml:space="preserve">PROPERTY
Prop Type</t>
  </si>
  <si>
    <t xml:space="preserve">PROPERTY
Mkt Value</t>
  </si>
  <si>
    <t xml:space="preserve">PROPERTY
O/S Loan</t>
  </si>
  <si>
    <t xml:space="preserve">FUNDS
CPF OA (A)</t>
  </si>
  <si>
    <t xml:space="preserve">FUNDS
CPF OA (B)</t>
  </si>
  <si>
    <t xml:space="preserve">FUNDS
Cash</t>
  </si>
  <si>
    <t xml:space="preserve">FUNDS
Liquid</t>
  </si>
  <si>
    <t xml:space="preserve">FUNDS
Gift</t>
  </si>
  <si>
    <t xml:space="preserve">FUNDS
Total Funds</t>
  </si>
  <si>
    <t xml:space="preserve">GOALS
Budget ($)</t>
  </si>
  <si>
    <t xml:space="preserve">GOALS
Target IRR</t>
  </si>
  <si>
    <t xml:space="preserve">GOALS
Carry Tol.</t>
  </si>
  <si>
    <t xml:space="preserve">GOALS
Hold (yrs)</t>
  </si>
  <si>
    <t xml:space="preserve">GOALS
Districts</t>
  </si>
  <si>
    <t xml:space="preserve">ADVISOR
Props Discussed</t>
  </si>
  <si>
    <t xml:space="preserve">ADVISOR
Report Sent</t>
  </si>
  <si>
    <t xml:space="preserve">ADVISOR
Next Action</t>
  </si>
  <si>
    <t xml:space="preserve">ADVISOR
Notes</t>
  </si>
  <si>
    <t xml:space="preserve">SAMPLE-001</t>
  </si>
  <si>
    <t xml:space="preserve">Sample Client</t>
  </si>
  <si>
    <t xml:space="preserve">Consultation</t>
  </si>
  <si>
    <t xml:space="preserve">10 Apr 2026</t>
  </si>
  <si>
    <t xml:space="preserve">SC</t>
  </si>
  <si>
    <t xml:space="preserve">Sell HDB → Buy Condo</t>
  </si>
  <si>
    <t xml:space="preserve">Yes</t>
  </si>
  <si>
    <t xml:space="preserve">HDB 4-Room</t>
  </si>
  <si>
    <t xml:space="preserve">10.0%</t>
  </si>
  <si>
    <t xml:space="preserve">$2,000</t>
  </si>
  <si>
    <t xml:space="preserve">4-6 yrs</t>
  </si>
  <si>
    <t xml:space="preserve">D14, D19</t>
  </si>
  <si>
    <t xml:space="preserve">Rivercove, The Antares</t>
  </si>
  <si>
    <t xml:space="preserve">No</t>
  </si>
  <si>
    <t xml:space="preserve">Arrange viewings D14 + D19</t>
  </si>
  <si>
    <t xml:space="preserve">Strong candidate. Prefers waterfront.</t>
  </si>
  <si>
    <t xml:space="preserve">CLIENT-002</t>
  </si>
  <si>
    <t xml:space="preserve">Intake</t>
  </si>
  <si>
    <t xml:space="preserve">CLIENT-003</t>
  </si>
  <si>
    <t xml:space="preserve">PIPELINE SUMMARY</t>
  </si>
  <si>
    <t xml:space="preserve">Stage</t>
  </si>
  <si>
    <t xml:space="preserve">Count</t>
  </si>
  <si>
    <t xml:space="preserve">% of Pipeline</t>
  </si>
  <si>
    <t xml:space="preserve">Report Sent</t>
  </si>
  <si>
    <t xml:space="preserve">Negotiation</t>
  </si>
  <si>
    <t xml:space="preserve">Closed Won</t>
  </si>
  <si>
    <t xml:space="preserve">Closed Lost</t>
  </si>
  <si>
    <t xml:space="preserve">On Hold</t>
  </si>
  <si>
    <t xml:space="preserve">TOTAL</t>
  </si>
  <si>
    <t xml:space="preserve">MASTER TRACKER — USAGE GUIDE</t>
  </si>
  <si>
    <t xml:space="preserve">PURPOSE</t>
  </si>
  <si>
    <t xml:space="preserve">This workbook is your internal CRM for all property consultation clients. It is NOT shared with clients. Use it to track pipeline, quickly find any client's financial summary, and see where each engagement stands.</t>
  </si>
  <si>
    <t xml:space="preserve">HOW TO ADD A CLIENT</t>
  </si>
  <si>
    <t xml:space="preserve">1. Receive the completed SheetA_Client_Intake.xlsx from a new client
2. Open Client Tracker tab
3. Add a new row (copy row above for formatting)
4. Paste client data from their intake form into the corresponding columns
5. Assign a Client ID (e.g. ALICE-001) and set Stage to 'Intake'</t>
  </si>
  <si>
    <t xml:space="preserve">STAGE WORKFLOW</t>
  </si>
  <si>
    <t xml:space="preserve">Intake → Consultation → Report Sent → Negotiation → Closed Won / Closed Lost
Set 'On Hold' if client is paused/deferring.</t>
  </si>
  <si>
    <t xml:space="preserve">COLUMN COLOUR CODING</t>
  </si>
  <si>
    <t xml:space="preserve">Blue = client-provided data  |  Green = advisor-entered fields (stage, notes, next action)
Each stage has a row background colour for quick visual scanning.</t>
  </si>
  <si>
    <t xml:space="preserve">The Pipeline Summary tab auto-counts clients by stage. Use it to see your funnel at a glance.</t>
  </si>
  <si>
    <t xml:space="preserve">CLIENT SWITCHING</t>
  </si>
  <si>
    <t xml:space="preserve">When you open the dashboard for a client, look up their row here to quickly copy their key financials into the dashboard. In the next version of the dashboard you will be able to load from their individual intake file directly.</t>
  </si>
  <si>
    <t xml:space="preserve">PRIVACY NOTE</t>
  </si>
  <si>
    <t xml:space="preserve">This file contains sensitive financial information for all clients. Store it locally, never share via email, and keep it password protected if possible.</t>
  </si>
</sst>
</file>

<file path=xl/styles.xml><?xml version="1.0" encoding="utf-8"?>
<styleSheet xmlns="http://schemas.openxmlformats.org/spreadsheetml/2006/main">
  <numFmts count="3">
    <numFmt numFmtId="164" formatCode="General"/>
    <numFmt numFmtId="165" formatCode="\$#,##0;&quot;($&quot;#,##0\);\-"/>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8"/>
      <color rgb="FFFFFFFF"/>
      <name val="Arial"/>
      <family val="0"/>
      <charset val="1"/>
    </font>
    <font>
      <sz val="9"/>
      <color rgb="FF888888"/>
      <name val="Arial"/>
      <family val="0"/>
      <charset val="1"/>
    </font>
    <font>
      <sz val="9"/>
      <color rgb="FF0000FF"/>
      <name val="Arial"/>
      <family val="0"/>
      <charset val="1"/>
    </font>
    <font>
      <sz val="9"/>
      <color rgb="FF008000"/>
      <name val="Arial"/>
      <family val="0"/>
      <charset val="1"/>
    </font>
    <font>
      <b val="true"/>
      <sz val="14"/>
      <color rgb="FFFFFFFF"/>
      <name val="Arial"/>
      <family val="0"/>
      <charset val="1"/>
    </font>
    <font>
      <b val="true"/>
      <sz val="10"/>
      <color rgb="FFFFFFFF"/>
      <name val="Arial"/>
      <family val="0"/>
      <charset val="1"/>
    </font>
    <font>
      <sz val="10"/>
      <color rgb="FF333333"/>
      <name val="Arial"/>
      <family val="0"/>
      <charset val="1"/>
    </font>
    <font>
      <b val="true"/>
      <sz val="10"/>
      <color rgb="FF000000"/>
      <name val="Arial"/>
      <family val="0"/>
      <charset val="1"/>
    </font>
    <font>
      <sz val="10"/>
      <color rgb="FF000000"/>
      <name val="Arial"/>
      <family val="0"/>
      <charset val="1"/>
    </font>
    <font>
      <b val="true"/>
      <sz val="13"/>
      <color rgb="FFFFFFFF"/>
      <name val="Arial"/>
      <family val="0"/>
      <charset val="1"/>
    </font>
  </fonts>
  <fills count="18">
    <fill>
      <patternFill patternType="none"/>
    </fill>
    <fill>
      <patternFill patternType="gray125"/>
    </fill>
    <fill>
      <patternFill patternType="solid">
        <fgColor rgb="FF0F1923"/>
        <bgColor rgb="FF000000"/>
      </patternFill>
    </fill>
    <fill>
      <patternFill patternType="solid">
        <fgColor rgb="FF1565C0"/>
        <bgColor rgb="FF3366FF"/>
      </patternFill>
    </fill>
    <fill>
      <patternFill patternType="solid">
        <fgColor rgb="FF0F4C81"/>
        <bgColor rgb="FF37474F"/>
      </patternFill>
    </fill>
    <fill>
      <patternFill patternType="solid">
        <fgColor rgb="FF1B5E20"/>
        <bgColor rgb="FF2E7D32"/>
      </patternFill>
    </fill>
    <fill>
      <patternFill patternType="solid">
        <fgColor rgb="FF4A148C"/>
        <bgColor rgb="FF800080"/>
      </patternFill>
    </fill>
    <fill>
      <patternFill patternType="solid">
        <fgColor rgb="FFE65100"/>
        <bgColor rgb="FF993300"/>
      </patternFill>
    </fill>
    <fill>
      <patternFill patternType="solid">
        <fgColor rgb="FF37474F"/>
        <bgColor rgb="FF333333"/>
      </patternFill>
    </fill>
    <fill>
      <patternFill patternType="solid">
        <fgColor rgb="FFE8F5E9"/>
        <bgColor rgb="FFEEEEEE"/>
      </patternFill>
    </fill>
    <fill>
      <patternFill patternType="solid">
        <fgColor rgb="FFE3F2FD"/>
        <bgColor rgb="FFE8F5E9"/>
      </patternFill>
    </fill>
    <fill>
      <patternFill patternType="solid">
        <fgColor rgb="FFF7F8FA"/>
        <bgColor rgb="FFF5F5F5"/>
      </patternFill>
    </fill>
    <fill>
      <patternFill patternType="solid">
        <fgColor rgb="FFFFFFFF"/>
        <bgColor rgb="FFF7F8FA"/>
      </patternFill>
    </fill>
    <fill>
      <patternFill patternType="solid">
        <fgColor rgb="FFFFF8E1"/>
        <bgColor rgb="FFF5F5F5"/>
      </patternFill>
    </fill>
    <fill>
      <patternFill patternType="solid">
        <fgColor rgb="FFFCE4EC"/>
        <bgColor rgb="FFEEEEEE"/>
      </patternFill>
    </fill>
    <fill>
      <patternFill patternType="solid">
        <fgColor rgb="FFC8E6C9"/>
        <bgColor rgb="FFE0E0E0"/>
      </patternFill>
    </fill>
    <fill>
      <patternFill patternType="solid">
        <fgColor rgb="FFFFCDD2"/>
        <bgColor rgb="FFFCE4EC"/>
      </patternFill>
    </fill>
    <fill>
      <patternFill patternType="solid">
        <fgColor rgb="FFF5F5F5"/>
        <bgColor rgb="FFF7F8FA"/>
      </patternFill>
    </fill>
  </fills>
  <borders count="6">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right/>
      <top/>
      <bottom style="thin">
        <color rgb="FFE0E0E0"/>
      </bottom>
      <diagonal/>
    </border>
    <border diagonalUp="false" diagonalDown="false">
      <left/>
      <right/>
      <top/>
      <bottom style="thin">
        <color rgb="FFEEEEEE"/>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medium">
        <color rgb="FF0F4C81"/>
      </left>
      <right style="medium">
        <color rgb="FF0F4C81"/>
      </right>
      <top style="medium">
        <color rgb="FF0F4C81"/>
      </top>
      <bottom style="medium">
        <color rgb="FF0F4C8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9" borderId="2" xfId="0" applyFont="true" applyBorder="true" applyAlignment="true" applyProtection="false">
      <alignment horizontal="left" vertical="center" textRotation="0" wrapText="false" indent="0" shrinkToFit="false"/>
      <protection locked="true" hidden="false"/>
    </xf>
    <xf numFmtId="165" fontId="6" fillId="9" borderId="2" xfId="0" applyFont="true" applyBorder="true" applyAlignment="true" applyProtection="false">
      <alignment horizontal="left" vertical="center" textRotation="0" wrapText="false" indent="0" shrinkToFit="false"/>
      <protection locked="true" hidden="false"/>
    </xf>
    <xf numFmtId="164" fontId="5" fillId="9" borderId="2" xfId="0" applyFont="true" applyBorder="true" applyAlignment="true" applyProtection="false">
      <alignment horizontal="left"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6" fillId="10" borderId="2" xfId="0" applyFont="true" applyBorder="true" applyAlignment="true" applyProtection="false">
      <alignment horizontal="left" vertical="center" textRotation="0" wrapText="false" indent="0" shrinkToFit="false"/>
      <protection locked="true" hidden="false"/>
    </xf>
    <xf numFmtId="164" fontId="5" fillId="10" borderId="2" xfId="0" applyFont="true" applyBorder="true" applyAlignment="true" applyProtection="false">
      <alignment horizontal="left"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0" fillId="11" borderId="3" xfId="0" applyFont="false" applyBorder="true" applyAlignment="false" applyProtection="false">
      <alignment horizontal="general" vertical="bottom" textRotation="0" wrapText="false" indent="0" shrinkToFit="false"/>
      <protection locked="true" hidden="false"/>
    </xf>
    <xf numFmtId="164" fontId="0" fillId="12" borderId="3"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10" fillId="10" borderId="4" xfId="0" applyFont="true" applyBorder="true" applyAlignment="true" applyProtection="false">
      <alignment horizontal="center" vertical="center" textRotation="0" wrapText="false" indent="0" shrinkToFit="false"/>
      <protection locked="true" hidden="false"/>
    </xf>
    <xf numFmtId="164" fontId="11" fillId="0" borderId="4" xfId="0" applyFont="true" applyBorder="true" applyAlignment="true" applyProtection="false">
      <alignment horizontal="center" vertical="center" textRotation="0" wrapText="false" indent="0" shrinkToFit="false"/>
      <protection locked="true" hidden="false"/>
    </xf>
    <xf numFmtId="166" fontId="12" fillId="0" borderId="4" xfId="0" applyFont="true" applyBorder="true" applyAlignment="true" applyProtection="false">
      <alignment horizontal="center" vertical="center" textRotation="0" wrapText="false" indent="0" shrinkToFit="false"/>
      <protection locked="true" hidden="false"/>
    </xf>
    <xf numFmtId="164" fontId="10" fillId="9" borderId="4" xfId="0" applyFont="true" applyBorder="true" applyAlignment="true" applyProtection="false">
      <alignment horizontal="center" vertical="center" textRotation="0" wrapText="false" indent="0" shrinkToFit="false"/>
      <protection locked="true" hidden="false"/>
    </xf>
    <xf numFmtId="164" fontId="10" fillId="13" borderId="4" xfId="0" applyFont="true" applyBorder="true" applyAlignment="true" applyProtection="false">
      <alignment horizontal="center" vertical="center" textRotation="0" wrapText="false" indent="0" shrinkToFit="false"/>
      <protection locked="true" hidden="false"/>
    </xf>
    <xf numFmtId="164" fontId="10" fillId="14" borderId="4" xfId="0" applyFont="true" applyBorder="true" applyAlignment="true" applyProtection="false">
      <alignment horizontal="center" vertical="center" textRotation="0" wrapText="false" indent="0" shrinkToFit="false"/>
      <protection locked="true" hidden="false"/>
    </xf>
    <xf numFmtId="164" fontId="10" fillId="15" borderId="4" xfId="0" applyFont="true" applyBorder="true" applyAlignment="true" applyProtection="false">
      <alignment horizontal="center" vertical="center" textRotation="0" wrapText="false" indent="0" shrinkToFit="false"/>
      <protection locked="true" hidden="false"/>
    </xf>
    <xf numFmtId="164" fontId="10" fillId="16" borderId="4" xfId="0" applyFont="true" applyBorder="true" applyAlignment="true" applyProtection="false">
      <alignment horizontal="center" vertical="center" textRotation="0" wrapText="false" indent="0" shrinkToFit="false"/>
      <protection locked="true" hidden="false"/>
    </xf>
    <xf numFmtId="164" fontId="10" fillId="17" borderId="4" xfId="0" applyFont="true" applyBorder="true" applyAlignment="true" applyProtection="false">
      <alignment horizontal="center" vertical="center" textRotation="0" wrapText="false" indent="0" shrinkToFit="false"/>
      <protection locked="true" hidden="false"/>
    </xf>
    <xf numFmtId="164" fontId="11" fillId="0" borderId="5" xfId="0" applyFont="true" applyBorder="true" applyAlignment="false" applyProtection="false">
      <alignment horizontal="general" vertical="bottom" textRotation="0" wrapText="false" indent="0" shrinkToFit="false"/>
      <protection locked="true" hidden="false"/>
    </xf>
    <xf numFmtId="164" fontId="11" fillId="0" borderId="5" xfId="0" applyFont="true" applyBorder="true" applyAlignment="true" applyProtection="false">
      <alignment horizontal="center" vertical="center" textRotation="0" wrapText="false" indent="0" shrinkToFit="false"/>
      <protection locked="true" hidden="false"/>
    </xf>
    <xf numFmtId="166" fontId="11" fillId="0" borderId="5"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left"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E0E0"/>
      <rgbColor rgb="FF888888"/>
      <rgbColor rgb="FF9999FF"/>
      <rgbColor rgb="FF993366"/>
      <rgbColor rgb="FFFFF8E1"/>
      <rgbColor rgb="FFE3F2FD"/>
      <rgbColor rgb="FF4A148C"/>
      <rgbColor rgb="FFFF8080"/>
      <rgbColor rgb="FF1565C0"/>
      <rgbColor rgb="FFD0D0D0"/>
      <rgbColor rgb="FF000080"/>
      <rgbColor rgb="FFFF00FF"/>
      <rgbColor rgb="FFFFFF00"/>
      <rgbColor rgb="FF00FFFF"/>
      <rgbColor rgb="FF800080"/>
      <rgbColor rgb="FF800000"/>
      <rgbColor rgb="FF008080"/>
      <rgbColor rgb="FF0000FF"/>
      <rgbColor rgb="FF00CCFF"/>
      <rgbColor rgb="FFE8F5E9"/>
      <rgbColor rgb="FFC8E6C9"/>
      <rgbColor rgb="FFF5F5F5"/>
      <rgbColor rgb="FFEEEEEE"/>
      <rgbColor rgb="FFFCE4EC"/>
      <rgbColor rgb="FFF7F8FA"/>
      <rgbColor rgb="FFFFCDD2"/>
      <rgbColor rgb="FF3366FF"/>
      <rgbColor rgb="FF33CCCC"/>
      <rgbColor rgb="FF99CC00"/>
      <rgbColor rgb="FFFFCC00"/>
      <rgbColor rgb="FFFF9900"/>
      <rgbColor rgb="FFE65100"/>
      <rgbColor rgb="FF666699"/>
      <rgbColor rgb="FF969696"/>
      <rgbColor rgb="FF0F4C81"/>
      <rgbColor rgb="FF2E7D32"/>
      <rgbColor rgb="FF0F1923"/>
      <rgbColor rgb="FF1B5E20"/>
      <rgbColor rgb="FF993300"/>
      <rgbColor rgb="FF993366"/>
      <rgbColor rgb="FF37474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81"/>
    <pageSetUpPr fitToPage="false"/>
  </sheetPr>
  <dimension ref="A1:AE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22"/>
    <col collapsed="false" customWidth="true" hidden="false" outlineLevel="0" max="4" min="4" style="0" width="16"/>
    <col collapsed="false" customWidth="true" hidden="false" outlineLevel="0" max="5" min="5" style="0" width="14"/>
    <col collapsed="false" customWidth="true" hidden="false" outlineLevel="0" max="6" min="6" style="0" width="10"/>
    <col collapsed="false" customWidth="true" hidden="false" outlineLevel="0" max="7" min="7" style="0" width="6"/>
    <col collapsed="false" customWidth="true" hidden="false" outlineLevel="0" max="8" min="8" style="0" width="22"/>
    <col collapsed="false" customWidth="true" hidden="false" outlineLevel="0" max="10" min="9" style="0" width="14"/>
    <col collapsed="false" customWidth="true" hidden="false" outlineLevel="0" max="11" min="11" style="0" width="12"/>
    <col collapsed="false" customWidth="true" hidden="false" outlineLevel="0" max="12" min="12" style="0" width="14"/>
    <col collapsed="false" customWidth="true" hidden="false" outlineLevel="0" max="13" min="13" style="0" width="10"/>
    <col collapsed="false" customWidth="true" hidden="false" outlineLevel="0" max="14" min="14" style="0" width="16"/>
    <col collapsed="false" customWidth="true" hidden="false" outlineLevel="0" max="15" min="15" style="0" width="14"/>
    <col collapsed="false" customWidth="true" hidden="false" outlineLevel="0" max="16" min="16" style="0" width="13"/>
    <col collapsed="false" customWidth="true" hidden="false" outlineLevel="0" max="20" min="17" style="0" width="12"/>
    <col collapsed="false" customWidth="true" hidden="false" outlineLevel="0" max="21" min="21" style="0" width="11"/>
    <col collapsed="false" customWidth="true" hidden="false" outlineLevel="0" max="22" min="22" style="0" width="14"/>
    <col collapsed="false" customWidth="true" hidden="false" outlineLevel="0" max="23" min="23" style="0" width="13"/>
    <col collapsed="false" customWidth="true" hidden="false" outlineLevel="0" max="26" min="24" style="0" width="11"/>
    <col collapsed="false" customWidth="true" hidden="false" outlineLevel="0" max="27" min="27" style="0" width="16"/>
    <col collapsed="false" customWidth="true" hidden="false" outlineLevel="0" max="28" min="28" style="0" width="22"/>
    <col collapsed="false" customWidth="true" hidden="false" outlineLevel="0" max="29" min="29" style="0" width="12"/>
    <col collapsed="false" customWidth="true" hidden="false" outlineLevel="0" max="30" min="30" style="0" width="24"/>
    <col collapsed="false" customWidth="true" hidden="false" outlineLevel="0" max="31" min="31" style="0" width="30"/>
  </cols>
  <sheetData>
    <row r="1" customFormat="false" ht="36" hidden="false" customHeight="true" outlineLevel="0" collapsed="false">
      <c r="A1" s="1" t="s">
        <v>0</v>
      </c>
      <c r="B1" s="1" t="s">
        <v>1</v>
      </c>
      <c r="C1" s="1" t="s">
        <v>2</v>
      </c>
      <c r="D1" s="1" t="s">
        <v>3</v>
      </c>
      <c r="E1" s="1" t="s">
        <v>4</v>
      </c>
      <c r="F1" s="2" t="s">
        <v>5</v>
      </c>
      <c r="G1" s="2" t="s">
        <v>6</v>
      </c>
      <c r="H1" s="3" t="s">
        <v>7</v>
      </c>
      <c r="I1" s="4" t="s">
        <v>8</v>
      </c>
      <c r="J1" s="4" t="s">
        <v>9</v>
      </c>
      <c r="K1" s="4" t="s">
        <v>10</v>
      </c>
      <c r="L1" s="4" t="s">
        <v>11</v>
      </c>
      <c r="M1" s="5" t="s">
        <v>12</v>
      </c>
      <c r="N1" s="5" t="s">
        <v>13</v>
      </c>
      <c r="O1" s="5" t="s">
        <v>14</v>
      </c>
      <c r="P1" s="5" t="s">
        <v>15</v>
      </c>
      <c r="Q1" s="6" t="s">
        <v>16</v>
      </c>
      <c r="R1" s="6" t="s">
        <v>17</v>
      </c>
      <c r="S1" s="6" t="s">
        <v>18</v>
      </c>
      <c r="T1" s="6" t="s">
        <v>19</v>
      </c>
      <c r="U1" s="6" t="s">
        <v>20</v>
      </c>
      <c r="V1" s="6" t="s">
        <v>21</v>
      </c>
      <c r="W1" s="3" t="s">
        <v>22</v>
      </c>
      <c r="X1" s="3" t="s">
        <v>23</v>
      </c>
      <c r="Y1" s="3" t="s">
        <v>24</v>
      </c>
      <c r="Z1" s="3" t="s">
        <v>25</v>
      </c>
      <c r="AA1" s="3" t="s">
        <v>26</v>
      </c>
      <c r="AB1" s="7" t="s">
        <v>27</v>
      </c>
      <c r="AC1" s="7" t="s">
        <v>28</v>
      </c>
      <c r="AD1" s="7" t="s">
        <v>29</v>
      </c>
      <c r="AE1" s="7" t="s">
        <v>30</v>
      </c>
    </row>
    <row r="2" customFormat="false" ht="18" hidden="false" customHeight="true" outlineLevel="0" collapsed="false">
      <c r="A2" s="8" t="n">
        <v>0</v>
      </c>
      <c r="B2" s="9" t="s">
        <v>31</v>
      </c>
      <c r="C2" s="9" t="s">
        <v>32</v>
      </c>
      <c r="D2" s="9" t="s">
        <v>33</v>
      </c>
      <c r="E2" s="9" t="s">
        <v>34</v>
      </c>
      <c r="F2" s="9" t="s">
        <v>35</v>
      </c>
      <c r="G2" s="9" t="n">
        <v>35</v>
      </c>
      <c r="H2" s="9" t="s">
        <v>36</v>
      </c>
      <c r="I2" s="10" t="n">
        <v>11279</v>
      </c>
      <c r="J2" s="11" t="n">
        <v>0</v>
      </c>
      <c r="K2" s="10" t="n">
        <v>4500</v>
      </c>
      <c r="L2" s="11" t="n">
        <v>0</v>
      </c>
      <c r="M2" s="9" t="s">
        <v>37</v>
      </c>
      <c r="N2" s="9" t="s">
        <v>38</v>
      </c>
      <c r="O2" s="10" t="n">
        <v>650000</v>
      </c>
      <c r="P2" s="10" t="n">
        <v>180000</v>
      </c>
      <c r="Q2" s="10" t="n">
        <v>120000</v>
      </c>
      <c r="R2" s="11" t="n">
        <v>0</v>
      </c>
      <c r="S2" s="10" t="n">
        <v>200000</v>
      </c>
      <c r="T2" s="10" t="n">
        <v>50000</v>
      </c>
      <c r="U2" s="11" t="n">
        <v>0</v>
      </c>
      <c r="V2" s="10" t="n">
        <v>1400000</v>
      </c>
      <c r="W2" s="10" t="s">
        <v>39</v>
      </c>
      <c r="X2" s="9" t="s">
        <v>40</v>
      </c>
      <c r="Y2" s="10" t="s">
        <v>41</v>
      </c>
      <c r="Z2" s="9" t="s">
        <v>42</v>
      </c>
      <c r="AA2" s="9" t="s">
        <v>43</v>
      </c>
      <c r="AB2" s="12" t="s">
        <v>44</v>
      </c>
      <c r="AC2" s="12" t="s">
        <v>45</v>
      </c>
      <c r="AD2" s="12" t="s">
        <v>46</v>
      </c>
    </row>
    <row r="3" customFormat="false" ht="18" hidden="false" customHeight="true" outlineLevel="0" collapsed="false">
      <c r="A3" s="8" t="n">
        <v>1</v>
      </c>
      <c r="B3" s="13" t="s">
        <v>47</v>
      </c>
      <c r="C3" s="14"/>
      <c r="D3" s="13" t="s">
        <v>48</v>
      </c>
      <c r="E3" s="14"/>
      <c r="F3" s="14"/>
      <c r="G3" s="14"/>
      <c r="H3" s="14"/>
      <c r="I3" s="14"/>
      <c r="J3" s="14"/>
      <c r="K3" s="14"/>
      <c r="L3" s="14"/>
      <c r="M3" s="14"/>
      <c r="N3" s="14"/>
      <c r="O3" s="14"/>
      <c r="P3" s="14"/>
      <c r="Q3" s="14"/>
      <c r="R3" s="14"/>
      <c r="S3" s="14"/>
      <c r="T3" s="14"/>
      <c r="U3" s="14"/>
      <c r="V3" s="14"/>
      <c r="W3" s="14"/>
      <c r="X3" s="14"/>
      <c r="Y3" s="14"/>
      <c r="Z3" s="14"/>
      <c r="AA3" s="14"/>
      <c r="AB3" s="15" t="s">
        <v>44</v>
      </c>
      <c r="AC3" s="15"/>
      <c r="AD3" s="15"/>
    </row>
    <row r="4" customFormat="false" ht="18" hidden="false" customHeight="true" outlineLevel="0" collapsed="false">
      <c r="A4" s="8" t="n">
        <v>2</v>
      </c>
      <c r="B4" s="13" t="s">
        <v>49</v>
      </c>
      <c r="C4" s="14"/>
      <c r="D4" s="13" t="s">
        <v>48</v>
      </c>
      <c r="E4" s="14"/>
      <c r="F4" s="14"/>
      <c r="G4" s="14"/>
      <c r="H4" s="14"/>
      <c r="I4" s="14"/>
      <c r="J4" s="14"/>
      <c r="K4" s="14"/>
      <c r="L4" s="14"/>
      <c r="M4" s="14"/>
      <c r="N4" s="14"/>
      <c r="O4" s="14"/>
      <c r="P4" s="14"/>
      <c r="Q4" s="14"/>
      <c r="R4" s="14"/>
      <c r="S4" s="14"/>
      <c r="T4" s="14"/>
      <c r="U4" s="14"/>
      <c r="V4" s="14"/>
      <c r="W4" s="14"/>
      <c r="X4" s="14"/>
      <c r="Y4" s="14"/>
      <c r="Z4" s="14"/>
      <c r="AA4" s="14"/>
      <c r="AB4" s="15" t="s">
        <v>44</v>
      </c>
      <c r="AC4" s="15"/>
      <c r="AD4" s="15"/>
    </row>
    <row r="5" customFormat="false" ht="18" hidden="false" customHeight="true" outlineLevel="0" collapsed="false">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row>
    <row r="6" customFormat="false" ht="18" hidden="false" customHeight="true" outlineLevel="0" collapsed="false">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row>
    <row r="7" customFormat="false" ht="18" hidden="false" customHeight="true" outlineLevel="0" collapsed="false">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row>
    <row r="8" customFormat="false" ht="18" hidden="false" customHeight="true" outlineLevel="0" collapsed="false">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row>
    <row r="9" customFormat="false" ht="18" hidden="false" customHeight="true" outlineLevel="0" collapsed="false">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row>
    <row r="10" customFormat="false" ht="18" hidden="false" customHeight="true" outlineLevel="0" collapsed="false">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row>
    <row r="11" customFormat="false" ht="18" hidden="false" customHeight="true" outlineLevel="0" collapsed="false">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row>
    <row r="12" customFormat="false" ht="18" hidden="false" customHeight="true" outlineLevel="0" collapsed="false">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row>
    <row r="13" customFormat="false" ht="18" hidden="false" customHeight="true" outlineLevel="0" collapsed="false">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row>
    <row r="14" customFormat="false" ht="18" hidden="false" customHeight="true" outlineLevel="0" collapsed="false">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row>
    <row r="15" customFormat="false" ht="18" hidden="false" customHeight="true" outlineLevel="0" collapsed="false">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row>
    <row r="16" customFormat="false" ht="18" hidden="false" customHeight="true" outlineLevel="0" collapsed="false">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row>
    <row r="17" customFormat="false" ht="18" hidden="false" customHeight="true" outlineLevel="0" collapsed="false">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row>
    <row r="18" customFormat="false" ht="18" hidden="false" customHeight="true" outlineLevel="0" collapsed="false">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customFormat="false" ht="18" hidden="false" customHeight="true" outlineLevel="0" collapsed="false">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row>
    <row r="20" customFormat="false" ht="18" hidden="false" customHeight="true" outlineLevel="0" collapsed="false">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row>
    <row r="21" customFormat="false" ht="18" hidden="false" customHeight="true" outlineLevel="0" collapsed="false">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row>
    <row r="22" customFormat="false" ht="18" hidden="false" customHeight="true" outlineLevel="0" collapsed="false">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row>
    <row r="23" customFormat="false" ht="18" hidden="false" customHeight="true" outlineLevel="0" collapsed="false">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row>
    <row r="24" customFormat="false" ht="18" hidden="false" customHeight="true" outlineLevel="0" collapsed="false">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row>
    <row r="25" customFormat="false" ht="18" hidden="false" customHeight="true" outlineLevel="0" collapsed="false">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row>
    <row r="26" customFormat="false" ht="18" hidden="false" customHeight="true" outlineLevel="0" collapsed="false">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row>
    <row r="27" customFormat="false" ht="18" hidden="false" customHeight="true" outlineLevel="0" collapsed="false">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row>
    <row r="28" customFormat="false" ht="18" hidden="false" customHeight="true" outlineLevel="0" collapsed="false">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row>
    <row r="29" customFormat="false" ht="18" hidden="false" customHeight="true" outlineLevel="0" collapsed="false">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row>
    <row r="30" customFormat="false" ht="18" hidden="false" customHeight="true" outlineLevel="0" collapsed="false">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row>
    <row r="31" customFormat="false" ht="18" hidden="false" customHeight="true" outlineLevel="0" collapsed="false">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row>
    <row r="32" customFormat="false" ht="18" hidden="false" customHeight="true" outlineLevel="0" collapsed="false">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row>
    <row r="33" customFormat="false" ht="18" hidden="false" customHeight="true" outlineLevel="0" collapsed="false">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customFormat="false" ht="18" hidden="false" customHeight="true" outlineLevel="0" collapsed="false">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row>
    <row r="35" customFormat="false" ht="18" hidden="false" customHeight="true" outlineLevel="0" collapsed="false">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row>
    <row r="36" customFormat="false" ht="18" hidden="false" customHeight="true" outlineLevel="0" collapsed="false">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row>
    <row r="37" customFormat="false" ht="18" hidden="false" customHeight="true" outlineLevel="0" collapsed="false">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row>
    <row r="38" customFormat="false" ht="18" hidden="false" customHeight="true" outlineLevel="0" collapsed="false">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row>
    <row r="39" customFormat="false" ht="18" hidden="false" customHeight="true" outlineLevel="0" collapsed="false">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row>
    <row r="40" customFormat="false" ht="18" hidden="false" customHeight="true" outlineLevel="0" collapsed="false">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row>
    <row r="41" customFormat="false" ht="18" hidden="false" customHeight="true" outlineLevel="0" collapsed="false">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row>
    <row r="42" customFormat="false" ht="18" hidden="false" customHeight="true" outlineLevel="0" collapsed="false">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row>
    <row r="43" customFormat="false" ht="18" hidden="false" customHeight="true" outlineLevel="0" collapsed="false">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row>
    <row r="44" customFormat="false" ht="18" hidden="false" customHeight="true" outlineLevel="0" collapsed="false">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row>
    <row r="45" customFormat="false" ht="18" hidden="false" customHeight="true" outlineLevel="0" collapsed="false">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row>
    <row r="46" customFormat="false" ht="18" hidden="false" customHeight="true" outlineLevel="0" collapsed="false">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row>
    <row r="47" customFormat="false" ht="18" hidden="false" customHeight="true" outlineLevel="0" collapsed="false">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row>
    <row r="48" customFormat="false" ht="18" hidden="false" customHeight="true" outlineLevel="0" collapsed="false">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row>
    <row r="49" customFormat="false" ht="18" hidden="false" customHeight="true" outlineLevel="0" collapsed="false">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row>
    <row r="50" customFormat="false" ht="18" hidden="false" customHeight="true" outlineLevel="0" collapsed="false">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row>
    <row r="51" customFormat="false" ht="18" hidden="false" customHeight="true" outlineLevel="0" collapsed="false">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row>
    <row r="52" customFormat="false" ht="18" hidden="false" customHeight="true" outlineLevel="0" collapsed="false">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row>
  </sheetData>
  <dataValidations count="2">
    <dataValidation allowBlank="true" errorStyle="stop" operator="between" showDropDown="false" showErrorMessage="false" showInputMessage="false" sqref="D2:D102" type="list">
      <formula1>"Intake,Consultation,Report Sent,Negotiation,Closed Won,Closed Lost,On Hold"</formula1>
      <formula2>0</formula2>
    </dataValidation>
    <dataValidation allowBlank="true" errorStyle="stop" operator="between" showDropDown="false" showErrorMessage="false" showInputMessage="false" sqref="AC2:AC10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2: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4" min="3" style="0" width="14"/>
    <col collapsed="false" customWidth="true" hidden="false" outlineLevel="0" max="5" min="5" style="0" width="3"/>
  </cols>
  <sheetData>
    <row r="2" customFormat="false" ht="27.75" hidden="false" customHeight="true" outlineLevel="0" collapsed="false">
      <c r="B2" s="18" t="s">
        <v>50</v>
      </c>
      <c r="C2" s="18"/>
      <c r="D2" s="18"/>
    </row>
    <row r="4" customFormat="false" ht="21.75" hidden="false" customHeight="true" outlineLevel="0" collapsed="false">
      <c r="B4" s="19" t="s">
        <v>51</v>
      </c>
      <c r="C4" s="19" t="s">
        <v>52</v>
      </c>
      <c r="D4" s="19" t="s">
        <v>53</v>
      </c>
    </row>
    <row r="5" customFormat="false" ht="19.5" hidden="false" customHeight="true" outlineLevel="0" collapsed="false">
      <c r="B5" s="20" t="s">
        <v>48</v>
      </c>
      <c r="C5" s="21" t="n">
        <f aca="false">COUNTIF('Client Tracker'!D:D,"Intake")</f>
        <v>2</v>
      </c>
      <c r="D5" s="22" t="n">
        <f aca="false">IFERROR(C5/SUM(C5:C11),0)</f>
        <v>0.666666666666667</v>
      </c>
    </row>
    <row r="6" customFormat="false" ht="19.5" hidden="false" customHeight="true" outlineLevel="0" collapsed="false">
      <c r="B6" s="23" t="s">
        <v>33</v>
      </c>
      <c r="C6" s="21" t="n">
        <f aca="false">COUNTIF('Client Tracker'!D:D,"Consultation")</f>
        <v>1</v>
      </c>
      <c r="D6" s="22" t="n">
        <f aca="false">IFERROR(C6/SUM(C5:C11),0)</f>
        <v>0.333333333333333</v>
      </c>
    </row>
    <row r="7" customFormat="false" ht="19.5" hidden="false" customHeight="true" outlineLevel="0" collapsed="false">
      <c r="B7" s="24" t="s">
        <v>54</v>
      </c>
      <c r="C7" s="21" t="n">
        <f aca="false">COUNTIF('Client Tracker'!D:D,"Report Sent")</f>
        <v>0</v>
      </c>
      <c r="D7" s="22" t="n">
        <f aca="false">IFERROR(C7/SUM(C5:C11),0)</f>
        <v>0</v>
      </c>
    </row>
    <row r="8" customFormat="false" ht="19.5" hidden="false" customHeight="true" outlineLevel="0" collapsed="false">
      <c r="B8" s="25" t="s">
        <v>55</v>
      </c>
      <c r="C8" s="21" t="n">
        <f aca="false">COUNTIF('Client Tracker'!D:D,"Negotiation")</f>
        <v>0</v>
      </c>
      <c r="D8" s="22" t="n">
        <f aca="false">IFERROR(C8/SUM(C5:C11),0)</f>
        <v>0</v>
      </c>
    </row>
    <row r="9" customFormat="false" ht="19.5" hidden="false" customHeight="true" outlineLevel="0" collapsed="false">
      <c r="B9" s="26" t="s">
        <v>56</v>
      </c>
      <c r="C9" s="21" t="n">
        <f aca="false">COUNTIF('Client Tracker'!D:D,"Closed Won")</f>
        <v>0</v>
      </c>
      <c r="D9" s="22" t="n">
        <f aca="false">IFERROR(C9/SUM(C5:C11),0)</f>
        <v>0</v>
      </c>
    </row>
    <row r="10" customFormat="false" ht="19.5" hidden="false" customHeight="true" outlineLevel="0" collapsed="false">
      <c r="B10" s="27" t="s">
        <v>57</v>
      </c>
      <c r="C10" s="21" t="n">
        <f aca="false">COUNTIF('Client Tracker'!D:D,"Closed Lost")</f>
        <v>0</v>
      </c>
      <c r="D10" s="22" t="n">
        <f aca="false">IFERROR(C10/SUM(C5:C11),0)</f>
        <v>0</v>
      </c>
    </row>
    <row r="11" customFormat="false" ht="19.5" hidden="false" customHeight="true" outlineLevel="0" collapsed="false">
      <c r="B11" s="28" t="s">
        <v>58</v>
      </c>
      <c r="C11" s="21" t="n">
        <f aca="false">COUNTIF('Client Tracker'!D:D,"On Hold")</f>
        <v>0</v>
      </c>
      <c r="D11" s="22" t="n">
        <f aca="false">IFERROR(C11/SUM(C5:C11),0)</f>
        <v>0</v>
      </c>
    </row>
    <row r="12" customFormat="false" ht="21.75" hidden="false" customHeight="true" outlineLevel="0" collapsed="false">
      <c r="B12" s="29" t="s">
        <v>59</v>
      </c>
      <c r="C12" s="30" t="n">
        <f aca="false">SUM(C5:C11)</f>
        <v>3</v>
      </c>
      <c r="D12" s="31" t="n">
        <f aca="false">IFERROR(C12/C12,1)</f>
        <v>1</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474F"/>
    <pageSetUpPr fitToPage="false"/>
  </sheetPr>
  <dimension ref="B2: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0"/>
    <col collapsed="false" customWidth="true" hidden="false" outlineLevel="0" max="3" min="3" style="0" width="3"/>
  </cols>
  <sheetData>
    <row r="2" customFormat="false" ht="27.75" hidden="false" customHeight="true" outlineLevel="0" collapsed="false">
      <c r="B2" s="32" t="s">
        <v>60</v>
      </c>
    </row>
    <row r="4" customFormat="false" ht="19.5" hidden="false" customHeight="true" outlineLevel="0" collapsed="false">
      <c r="B4" s="33" t="s">
        <v>61</v>
      </c>
    </row>
    <row r="5" customFormat="false" ht="19.5" hidden="false" customHeight="true" outlineLevel="0" collapsed="false">
      <c r="B5" s="34" t="s">
        <v>62</v>
      </c>
    </row>
    <row r="6" customFormat="false" ht="7.5" hidden="false" customHeight="true" outlineLevel="0" collapsed="false"/>
    <row r="7" customFormat="false" ht="19.5" hidden="false" customHeight="true" outlineLevel="0" collapsed="false">
      <c r="B7" s="33" t="s">
        <v>63</v>
      </c>
    </row>
    <row r="8" customFormat="false" ht="75.75" hidden="false" customHeight="true" outlineLevel="0" collapsed="false">
      <c r="B8" s="34" t="s">
        <v>64</v>
      </c>
    </row>
    <row r="9" customFormat="false" ht="7.5" hidden="false" customHeight="true" outlineLevel="0" collapsed="false"/>
    <row r="10" customFormat="false" ht="19.5" hidden="false" customHeight="true" outlineLevel="0" collapsed="false">
      <c r="B10" s="33" t="s">
        <v>65</v>
      </c>
    </row>
    <row r="11" customFormat="false" ht="33.75" hidden="false" customHeight="true" outlineLevel="0" collapsed="false">
      <c r="B11" s="34" t="s">
        <v>66</v>
      </c>
    </row>
    <row r="12" customFormat="false" ht="7.5" hidden="false" customHeight="true" outlineLevel="0" collapsed="false"/>
    <row r="13" customFormat="false" ht="19.5" hidden="false" customHeight="true" outlineLevel="0" collapsed="false">
      <c r="B13" s="33" t="s">
        <v>67</v>
      </c>
    </row>
    <row r="14" customFormat="false" ht="33.75" hidden="false" customHeight="true" outlineLevel="0" collapsed="false">
      <c r="B14" s="34" t="s">
        <v>68</v>
      </c>
    </row>
    <row r="15" customFormat="false" ht="7.5" hidden="false" customHeight="true" outlineLevel="0" collapsed="false"/>
    <row r="16" customFormat="false" ht="19.5" hidden="false" customHeight="true" outlineLevel="0" collapsed="false">
      <c r="B16" s="33" t="s">
        <v>50</v>
      </c>
    </row>
    <row r="17" customFormat="false" ht="19.5" hidden="false" customHeight="true" outlineLevel="0" collapsed="false">
      <c r="B17" s="34" t="s">
        <v>69</v>
      </c>
    </row>
    <row r="18" customFormat="false" ht="7.5" hidden="false" customHeight="true" outlineLevel="0" collapsed="false"/>
    <row r="19" customFormat="false" ht="19.5" hidden="false" customHeight="true" outlineLevel="0" collapsed="false">
      <c r="B19" s="33" t="s">
        <v>70</v>
      </c>
    </row>
    <row r="20" customFormat="false" ht="19.5" hidden="false" customHeight="true" outlineLevel="0" collapsed="false">
      <c r="B20" s="34" t="s">
        <v>71</v>
      </c>
    </row>
    <row r="21" customFormat="false" ht="7.5" hidden="false" customHeight="true" outlineLevel="0" collapsed="false"/>
    <row r="22" customFormat="false" ht="19.5" hidden="false" customHeight="true" outlineLevel="0" collapsed="false">
      <c r="B22" s="33" t="s">
        <v>72</v>
      </c>
    </row>
    <row r="23" customFormat="false" ht="19.5" hidden="false" customHeight="true" outlineLevel="0" collapsed="false">
      <c r="B23" s="34" t="s">
        <v>73</v>
      </c>
    </row>
    <row r="24" customFormat="false" ht="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2026-04-11T14:08:27Z</dcterms:created>
  <dc:creator>openpyxl</dc:creator>
  <dc:description/>
  <dc:language>en-US</dc:language>
  <cp:lastModifiedBy/>
  <dcterms:modified xsi:type="dcterms:W3CDTF">2026-04-11T14:08:27Z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