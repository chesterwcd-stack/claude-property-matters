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Intake Form"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<sst xmlns="http://schemas.openxmlformats.org/spreadsheetml/2006/main" count="92" uniqueCount="88">
  <si>
    <t xml:space="preserve">PROPERTY CONSULTATION — CLIENT INFORMATION FORM</t>
  </si>
  <si>
    <t xml:space="preserve">Prepared by Chester  |  Confidential</t>
  </si>
  <si>
    <t xml:space="preserve">PURPOSE</t>
  </si>
  <si>
    <t xml:space="preserve">This form helps us prepare your personalised property consultation. Please fill in all blue cells as accurately as possible. All information is kept strictly confidential and used only for your advisory session.</t>
  </si>
  <si>
    <t xml:space="preserve">HOW TO FILL IN</t>
  </si>
  <si>
    <t xml:space="preserve">• All blue cells are for you to fill in
• If a field does not apply to you, enter 0 for numbers or 'N/A' for text
• Use dropdown menus where provided (click the cell and select)
• For currency fields, enter numbers only — no $ signs needed
• Estimated figures are fine where exact amounts are unknown</t>
  </si>
  <si>
    <t xml:space="preserve">SECTIONS</t>
  </si>
  <si>
    <t xml:space="preserve">A)  Your Identity &amp; Basic Info
B)  Income &amp; Employment
C)  Existing Financial Commitments
D)  Current Property (if any)
E)  Available Funds
F)  Your Goals &amp; Preferences</t>
  </si>
  <si>
    <t xml:space="preserve">QUESTIONS?</t>
  </si>
  <si>
    <t xml:space="preserve">If you are unsure about any field, leave it blank and we will go through it together during the consultation.</t>
  </si>
  <si>
    <t xml:space="preserve">RETURN TO</t>
  </si>
  <si>
    <t xml:space="preserve">Please return this completed form to Chester at least 24 hours before your scheduled consultation.</t>
  </si>
  <si>
    <t xml:space="preserve">CLIENT INFORMATION FORM — PROPERTY CONSULTATION</t>
  </si>
  <si>
    <t xml:space="preserve">Please fill in all BLUE cells. Grey cells are auto-calculated — do not edit.</t>
  </si>
  <si>
    <t xml:space="preserve">A)  YOUR IDENTITY</t>
  </si>
  <si>
    <t xml:space="preserve">Full Name</t>
  </si>
  <si>
    <t xml:space="preserve">As per NRIC/FIN</t>
  </si>
  <si>
    <t xml:space="preserve">Residency Status</t>
  </si>
  <si>
    <t xml:space="preserve">Age (years)</t>
  </si>
  <si>
    <t xml:space="preserve">Marital Status</t>
  </si>
  <si>
    <t xml:space="preserve">Will there be a co-buyer?</t>
  </si>
  <si>
    <t xml:space="preserve">Spouse, parent, or sibling applying jointly</t>
  </si>
  <si>
    <t xml:space="preserve">Co-buyer Age (years)</t>
  </si>
  <si>
    <t xml:space="preserve">Enter 0 if no co-buyer</t>
  </si>
  <si>
    <t xml:space="preserve">B)  INCOME &amp; EMPLOYMENT</t>
  </si>
  <si>
    <t xml:space="preserve">Your Gross Monthly Salary</t>
  </si>
  <si>
    <t xml:space="preserve">Before CPF deduction. Fixed salary only.</t>
  </si>
  <si>
    <t xml:space="preserve">Co-buyer Gross Monthly Salary</t>
  </si>
  <si>
    <t xml:space="preserve">Additional Monthly Income</t>
  </si>
  <si>
    <t xml:space="preserve">Rental income, dividends, freelance — not included in TDSR
but helps us understand your full picture</t>
  </si>
  <si>
    <t xml:space="preserve">Total Gross Income (for bank loan calculation)</t>
  </si>
  <si>
    <t xml:space="preserve">Sum of salaries only. Used for TDSR and loan eligibility.</t>
  </si>
  <si>
    <t xml:space="preserve">C)  EXISTING FINANCIAL COMMITMENTS</t>
  </si>
  <si>
    <t xml:space="preserve">Monthly Car Loan Repayment</t>
  </si>
  <si>
    <t xml:space="preserve">Enter 0 if none</t>
  </si>
  <si>
    <t xml:space="preserve">Monthly Personal / Study Loan</t>
  </si>
  <si>
    <t xml:space="preserve">Other Monthly Loan Obligations</t>
  </si>
  <si>
    <t xml:space="preserve">e.g. guarantor obligations, hire purchase</t>
  </si>
  <si>
    <t xml:space="preserve">Total Monthly Commitments</t>
  </si>
  <si>
    <t xml:space="preserve">Counted against your TDSR limit by the bank</t>
  </si>
  <si>
    <t xml:space="preserve">D)  CURRENT PROPERTY (if any)</t>
  </si>
  <si>
    <t xml:space="preserve">Do you currently own a property?</t>
  </si>
  <si>
    <t xml:space="preserve">Property Type</t>
  </si>
  <si>
    <t xml:space="preserve">e.g. HDB 4-Room, EC, Private Condo, Landed</t>
  </si>
  <si>
    <t xml:space="preserve">District</t>
  </si>
  <si>
    <t xml:space="preserve">e.g. D19, D14, D10</t>
  </si>
  <si>
    <t xml:space="preserve">Estimated Market Value ($)</t>
  </si>
  <si>
    <t xml:space="preserve">Latest HDB valuation or agent estimate. Ballpark is fine.</t>
  </si>
  <si>
    <t xml:space="preserve">Outstanding Mortgage Balance ($)</t>
  </si>
  <si>
    <t xml:space="preserve">Remaining loan amount. Check your CPF statement.</t>
  </si>
  <si>
    <t xml:space="preserve">Current Monthly Mortgage Payment ($)</t>
  </si>
  <si>
    <t xml:space="preserve">What you pay the bank each month</t>
  </si>
  <si>
    <t xml:space="preserve">Original Purchase Price ($)</t>
  </si>
  <si>
    <t xml:space="preserve">Year Purchased</t>
  </si>
  <si>
    <t xml:space="preserve">Net Equity (estimated)</t>
  </si>
  <si>
    <t xml:space="preserve">Market value minus outstanding mortgage</t>
  </si>
  <si>
    <t xml:space="preserve">Estimated Sale Proceeds (net of 1% agent fee)</t>
  </si>
  <si>
    <t xml:space="preserve">What you'd receive after selling and paying off the loan</t>
  </si>
  <si>
    <t xml:space="preserve">E)  AVAILABLE FUNDS</t>
  </si>
  <si>
    <t xml:space="preserve">CPF OA Balance — You</t>
  </si>
  <si>
    <t xml:space="preserve">Check your CPF statement at my.cpf.gov.sg</t>
  </si>
  <si>
    <t xml:space="preserve">CPF OA Balance — Co-buyer</t>
  </si>
  <si>
    <t xml:space="preserve">Cash Savings (in bank accounts)</t>
  </si>
  <si>
    <t xml:space="preserve">Other Liquid Assets</t>
  </si>
  <si>
    <t xml:space="preserve">Fixed deposits, investments realisable within 3 months</t>
  </si>
  <si>
    <t xml:space="preserve">Gift / Family Support (confirmed available)</t>
  </si>
  <si>
    <t xml:space="preserve">Total Funds Available</t>
  </si>
  <si>
    <t xml:space="preserve">CPF + cash + liquid + gift + sale proceeds (if selling)</t>
  </si>
  <si>
    <t xml:space="preserve">F)  YOUR GOALS &amp; PREFERENCES</t>
  </si>
  <si>
    <t xml:space="preserve">Primary Goal</t>
  </si>
  <si>
    <t xml:space="preserve">Purpose of Purchase</t>
  </si>
  <si>
    <t xml:space="preserve">Risk Tolerance</t>
  </si>
  <si>
    <t xml:space="preserve">How comfortable are you if property value dips temporarily?</t>
  </si>
  <si>
    <t xml:space="preserve">Budget Ceiling ($)</t>
  </si>
  <si>
    <t xml:space="preserve">Maximum you are comfortable spending on purchase</t>
  </si>
  <si>
    <t xml:space="preserve">Max Monthly Negative Carry ($)</t>
  </si>
  <si>
    <t xml:space="preserve">If renting out: max monthly shortfall you can cover from savings (e.g. 2000 means -$2,000/mo is ok)</t>
  </si>
  <si>
    <t xml:space="preserve">Target Investment Return (%)</t>
  </si>
  <si>
    <t xml:space="preserve">Minimum annual return you expect on your equity invested (e.g. 10 for 10%)
Leave 0 if this is own-stay</t>
  </si>
  <si>
    <t xml:space="preserve">Preferred Holding Period (years)</t>
  </si>
  <si>
    <t xml:space="preserve">e.g. 4-6, or 5</t>
  </si>
  <si>
    <t xml:space="preserve">Preferred Districts</t>
  </si>
  <si>
    <t xml:space="preserve">e.g. D14, D19, D10. Leave blank if open.</t>
  </si>
  <si>
    <t xml:space="preserve">Must-Haves</t>
  </si>
  <si>
    <t xml:space="preserve">e.g. MRT within 5 min, at least 3BR, near good schools</t>
  </si>
  <si>
    <t xml:space="preserve">Deal-Breakers</t>
  </si>
  <si>
    <t xml:space="preserve">e.g. No LRT only, not leasehold below 80yr remaining</t>
  </si>
  <si>
    <t xml:space="preserve">Thank you for completing this form. All information is strictly confidential. Please return to Chester at least 24 hours before your consultation.</t>
  </si>
</sst>
</file>

<file path=xl/styles.xml><?xml version="1.0" encoding="utf-8"?>
<styleSheet xmlns="http://schemas.openxmlformats.org/spreadsheetml/2006/main">
  <numFmts count="4">
    <numFmt numFmtId="164" formatCode="General"/>
    <numFmt numFmtId="165" formatCode="#,##0"/>
    <numFmt numFmtId="166" formatCode="\$#,##0;&quot;($&quot;#,##0\);\-"/>
    <numFmt numFmtId="167" formatCode="0.0%"/>
  </numFmts>
  <fonts count="15">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sz val="9"/>
      <color rgb="FF90A4AE"/>
      <name val="Arial"/>
      <family val="0"/>
      <charset val="1"/>
    </font>
    <font>
      <b val="true"/>
      <sz val="10"/>
      <color rgb="FF0F4C81"/>
      <name val="Arial"/>
      <family val="0"/>
      <charset val="1"/>
    </font>
    <font>
      <sz val="10"/>
      <color rgb="FF333333"/>
      <name val="Arial"/>
      <family val="0"/>
      <charset val="1"/>
    </font>
    <font>
      <b val="true"/>
      <sz val="13"/>
      <color rgb="FFFFFFFF"/>
      <name val="Arial"/>
      <family val="0"/>
      <charset val="1"/>
    </font>
    <font>
      <b val="true"/>
      <sz val="10"/>
      <color rgb="FFFFFFFF"/>
      <name val="Arial"/>
      <family val="0"/>
      <charset val="1"/>
    </font>
    <font>
      <sz val="10"/>
      <color rgb="FF0000FF"/>
      <name val="Arial"/>
      <family val="0"/>
      <charset val="1"/>
    </font>
    <font>
      <i val="true"/>
      <sz val="9"/>
      <color rgb="FF888888"/>
      <name val="Arial"/>
      <family val="0"/>
      <charset val="1"/>
    </font>
    <font>
      <sz val="10"/>
      <color rgb="FF555555"/>
      <name val="Arial"/>
      <family val="0"/>
      <charset val="1"/>
    </font>
    <font>
      <b val="true"/>
      <sz val="10"/>
      <color rgb="FF000000"/>
      <name val="Arial"/>
      <family val="0"/>
      <charset val="1"/>
    </font>
    <font>
      <b val="true"/>
      <sz val="10"/>
      <color rgb="FF0000FF"/>
      <name val="Arial"/>
      <family val="0"/>
      <charset val="1"/>
    </font>
  </fonts>
  <fills count="6">
    <fill>
      <patternFill patternType="none"/>
    </fill>
    <fill>
      <patternFill patternType="gray125"/>
    </fill>
    <fill>
      <patternFill patternType="solid">
        <fgColor rgb="FF0F1923"/>
        <bgColor rgb="FF000000"/>
      </patternFill>
    </fill>
    <fill>
      <patternFill patternType="solid">
        <fgColor rgb="FFE8F1FA"/>
        <bgColor rgb="FFF7F8FA"/>
      </patternFill>
    </fill>
    <fill>
      <patternFill patternType="solid">
        <fgColor rgb="FF0F4C81"/>
        <bgColor rgb="FF333399"/>
      </patternFill>
    </fill>
    <fill>
      <patternFill patternType="solid">
        <fgColor rgb="FFF7F8FA"/>
        <bgColor rgb="FFFFFFFF"/>
      </patternFill>
    </fill>
  </fills>
  <borders count="5">
    <border diagonalUp="false" diagonalDown="false">
      <left/>
      <right/>
      <top/>
      <bottom/>
      <diagonal/>
    </border>
    <border diagonalUp="false" diagonalDown="false">
      <left style="thin">
        <color rgb="FF0F4C81"/>
      </left>
      <right/>
      <top style="thin">
        <color rgb="FF0F4C81"/>
      </top>
      <bottom style="thin">
        <color rgb="FF0F4C81"/>
      </bottom>
      <diagonal/>
    </border>
    <border diagonalUp="false" diagonalDown="false">
      <left/>
      <right/>
      <top/>
      <bottom style="thin">
        <color rgb="FFD0D0D0"/>
      </bottom>
      <diagonal/>
    </border>
    <border diagonalUp="false" diagonalDown="false">
      <left style="thin">
        <color rgb="FF1A73E8"/>
      </left>
      <right style="thin">
        <color rgb="FF1A73E8"/>
      </right>
      <top style="thin">
        <color rgb="FFD0D0D0"/>
      </top>
      <bottom style="thin">
        <color rgb="FFD0D0D0"/>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9" fillId="4" borderId="1" xfId="0" applyFont="true" applyBorder="true" applyAlignment="true" applyProtection="false">
      <alignment horizontal="left" vertical="center" textRotation="0" wrapText="false" indent="0" shrinkToFit="false"/>
      <protection locked="true" hidden="false"/>
    </xf>
    <xf numFmtId="164" fontId="7" fillId="0" borderId="2" xfId="0" applyFont="true" applyBorder="true" applyAlignment="true" applyProtection="false">
      <alignment horizontal="left" vertical="center" textRotation="0" wrapText="false" indent="0" shrinkToFit="false"/>
      <protection locked="true" hidden="false"/>
    </xf>
    <xf numFmtId="164" fontId="10" fillId="3" borderId="3"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true" indent="0" shrinkToFit="false"/>
      <protection locked="true" hidden="false"/>
    </xf>
    <xf numFmtId="165" fontId="10" fillId="3" borderId="3" xfId="0" applyFont="true" applyBorder="true" applyAlignment="true" applyProtection="false">
      <alignment horizontal="right" vertical="center" textRotation="0" wrapText="false" indent="0" shrinkToFit="false"/>
      <protection locked="true" hidden="false"/>
    </xf>
    <xf numFmtId="166" fontId="10" fillId="3" borderId="3" xfId="0" applyFont="true" applyBorder="true" applyAlignment="true" applyProtection="false">
      <alignment horizontal="right" vertical="center" textRotation="0" wrapText="false" indent="0" shrinkToFit="false"/>
      <protection locked="true" hidden="false"/>
    </xf>
    <xf numFmtId="164" fontId="12" fillId="0" borderId="2" xfId="0" applyFont="true" applyBorder="true" applyAlignment="true" applyProtection="false">
      <alignment horizontal="left" vertical="center" textRotation="0" wrapText="false" indent="0" shrinkToFit="false"/>
      <protection locked="true" hidden="false"/>
    </xf>
    <xf numFmtId="166" fontId="13" fillId="5" borderId="4"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4" fillId="3" borderId="3" xfId="0" applyFont="true" applyBorder="true" applyAlignment="true" applyProtection="false">
      <alignment horizontal="right" vertical="center" textRotation="0" wrapText="false" indent="0" shrinkToFit="false"/>
      <protection locked="true" hidden="false"/>
    </xf>
    <xf numFmtId="167" fontId="14" fillId="3" borderId="3"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7F8FA"/>
      <rgbColor rgb="FFE8F1FA"/>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A73E8"/>
      <rgbColor rgb="FF33CCCC"/>
      <rgbColor rgb="FF99CC00"/>
      <rgbColor rgb="FFFFCC00"/>
      <rgbColor rgb="FFFF9900"/>
      <rgbColor rgb="FFFF6600"/>
      <rgbColor rgb="FF555555"/>
      <rgbColor rgb="FF90A4AE"/>
      <rgbColor rgb="FF0F4C81"/>
      <rgbColor rgb="FF339966"/>
      <rgbColor rgb="FF0F1923"/>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4C81"/>
    <pageSetUpPr fitToPage="false"/>
  </sheetPr>
  <dimension ref="B2: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60"/>
    <col collapsed="false" customWidth="true" hidden="false" outlineLevel="0" max="3" min="3" style="0" width="2"/>
  </cols>
  <sheetData>
    <row r="2" customFormat="false" ht="30" hidden="false" customHeight="true" outlineLevel="0" collapsed="false">
      <c r="B2" s="1" t="s">
        <v>0</v>
      </c>
    </row>
    <row r="3" customFormat="false" ht="18" hidden="false" customHeight="true" outlineLevel="0" collapsed="false">
      <c r="B3" s="2" t="s">
        <v>1</v>
      </c>
    </row>
    <row r="6" customFormat="false" ht="18" hidden="false" customHeight="true" outlineLevel="0" collapsed="false">
      <c r="B6" s="3" t="s">
        <v>2</v>
      </c>
    </row>
    <row r="7" customFormat="false" ht="19.5" hidden="false" customHeight="true" outlineLevel="0" collapsed="false">
      <c r="B7" s="4" t="s">
        <v>3</v>
      </c>
    </row>
    <row r="9" customFormat="false" ht="18" hidden="false" customHeight="true" outlineLevel="0" collapsed="false">
      <c r="B9" s="3" t="s">
        <v>4</v>
      </c>
    </row>
    <row r="10" customFormat="false" ht="79.5" hidden="false" customHeight="true" outlineLevel="0" collapsed="false">
      <c r="B10" s="4" t="s">
        <v>5</v>
      </c>
    </row>
    <row r="12" customFormat="false" ht="18" hidden="false" customHeight="true" outlineLevel="0" collapsed="false">
      <c r="B12" s="3" t="s">
        <v>6</v>
      </c>
    </row>
    <row r="13" customFormat="false" ht="94.5" hidden="false" customHeight="true" outlineLevel="0" collapsed="false">
      <c r="B13" s="4" t="s">
        <v>7</v>
      </c>
    </row>
    <row r="15" customFormat="false" ht="18" hidden="false" customHeight="true" outlineLevel="0" collapsed="false">
      <c r="B15" s="3" t="s">
        <v>8</v>
      </c>
    </row>
    <row r="16" customFormat="false" ht="19.5" hidden="false" customHeight="true" outlineLevel="0" collapsed="false">
      <c r="B16" s="4" t="s">
        <v>9</v>
      </c>
    </row>
    <row r="18" customFormat="false" ht="18" hidden="false" customHeight="true" outlineLevel="0" collapsed="false">
      <c r="B18" s="3" t="s">
        <v>10</v>
      </c>
    </row>
    <row r="19" customFormat="false" ht="19.5" hidden="false" customHeight="true" outlineLevel="0" collapsed="false">
      <c r="B19" s="4"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A73E8"/>
    <pageSetUpPr fitToPage="false"/>
  </sheetPr>
  <dimension ref="B2:D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26"/>
    <col collapsed="false" customWidth="true" hidden="false" outlineLevel="0" max="4" min="4" style="0" width="22"/>
    <col collapsed="false" customWidth="true" hidden="false" outlineLevel="0" max="5" min="5" style="0" width="2"/>
  </cols>
  <sheetData>
    <row r="2" customFormat="false" ht="30" hidden="false" customHeight="true" outlineLevel="0" collapsed="false">
      <c r="B2" s="5" t="s">
        <v>12</v>
      </c>
      <c r="C2" s="5"/>
      <c r="D2" s="5"/>
    </row>
    <row r="3" customFormat="false" ht="15.75" hidden="false" customHeight="true" outlineLevel="0" collapsed="false">
      <c r="B3" s="6" t="s">
        <v>13</v>
      </c>
      <c r="C3" s="6"/>
      <c r="D3" s="6"/>
    </row>
    <row r="5" customFormat="false" ht="21.75" hidden="false" customHeight="true" outlineLevel="0" collapsed="false">
      <c r="B5" s="7" t="s">
        <v>14</v>
      </c>
      <c r="C5" s="7"/>
      <c r="D5" s="7"/>
    </row>
    <row r="6" customFormat="false" ht="18" hidden="false" customHeight="true" outlineLevel="0" collapsed="false">
      <c r="B6" s="8" t="s">
        <v>15</v>
      </c>
      <c r="C6" s="9"/>
      <c r="D6" s="10" t="s">
        <v>16</v>
      </c>
    </row>
    <row r="7" customFormat="false" ht="18" hidden="false" customHeight="true" outlineLevel="0" collapsed="false">
      <c r="B7" s="8" t="s">
        <v>17</v>
      </c>
      <c r="C7" s="9"/>
    </row>
    <row r="8" customFormat="false" ht="18" hidden="false" customHeight="true" outlineLevel="0" collapsed="false">
      <c r="B8" s="8" t="s">
        <v>18</v>
      </c>
      <c r="C8" s="11"/>
    </row>
    <row r="9" customFormat="false" ht="18" hidden="false" customHeight="true" outlineLevel="0" collapsed="false">
      <c r="B9" s="8" t="s">
        <v>19</v>
      </c>
      <c r="C9" s="9"/>
    </row>
    <row r="10" customFormat="false" ht="18" hidden="false" customHeight="true" outlineLevel="0" collapsed="false">
      <c r="B10" s="8" t="s">
        <v>20</v>
      </c>
      <c r="C10" s="9"/>
      <c r="D10" s="10" t="s">
        <v>21</v>
      </c>
    </row>
    <row r="11" customFormat="false" ht="18" hidden="false" customHeight="true" outlineLevel="0" collapsed="false">
      <c r="B11" s="8" t="s">
        <v>22</v>
      </c>
      <c r="C11" s="11" t="n">
        <v>0</v>
      </c>
      <c r="D11" s="10" t="s">
        <v>23</v>
      </c>
    </row>
    <row r="12" customFormat="false" ht="6" hidden="false" customHeight="true" outlineLevel="0" collapsed="false"/>
    <row r="13" customFormat="false" ht="21.75" hidden="false" customHeight="true" outlineLevel="0" collapsed="false">
      <c r="B13" s="7" t="s">
        <v>24</v>
      </c>
      <c r="C13" s="7"/>
      <c r="D13" s="7"/>
    </row>
    <row r="14" customFormat="false" ht="18" hidden="false" customHeight="true" outlineLevel="0" collapsed="false">
      <c r="B14" s="8" t="s">
        <v>25</v>
      </c>
      <c r="C14" s="12"/>
      <c r="D14" s="10" t="s">
        <v>26</v>
      </c>
    </row>
    <row r="15" customFormat="false" ht="18" hidden="false" customHeight="true" outlineLevel="0" collapsed="false">
      <c r="B15" s="8" t="s">
        <v>27</v>
      </c>
      <c r="C15" s="12" t="n">
        <v>0</v>
      </c>
      <c r="D15" s="10" t="s">
        <v>23</v>
      </c>
    </row>
    <row r="16" customFormat="false" ht="28.5" hidden="false" customHeight="true" outlineLevel="0" collapsed="false">
      <c r="B16" s="8" t="s">
        <v>28</v>
      </c>
      <c r="C16" s="12" t="n">
        <v>0</v>
      </c>
      <c r="D16" s="10" t="s">
        <v>29</v>
      </c>
    </row>
    <row r="17" customFormat="false" ht="18" hidden="false" customHeight="true" outlineLevel="0" collapsed="false">
      <c r="B17" s="13" t="s">
        <v>30</v>
      </c>
      <c r="C17" s="14" t="n">
        <f aca="false">C14+C15</f>
        <v>0</v>
      </c>
      <c r="D17" s="15" t="s">
        <v>31</v>
      </c>
    </row>
    <row r="18" customFormat="false" ht="6" hidden="false" customHeight="true" outlineLevel="0" collapsed="false"/>
    <row r="19" customFormat="false" ht="21.75" hidden="false" customHeight="true" outlineLevel="0" collapsed="false">
      <c r="B19" s="7" t="s">
        <v>32</v>
      </c>
      <c r="C19" s="7"/>
      <c r="D19" s="7"/>
    </row>
    <row r="20" customFormat="false" ht="18" hidden="false" customHeight="true" outlineLevel="0" collapsed="false">
      <c r="B20" s="8" t="s">
        <v>33</v>
      </c>
      <c r="C20" s="12" t="n">
        <v>0</v>
      </c>
      <c r="D20" s="10" t="s">
        <v>34</v>
      </c>
    </row>
    <row r="21" customFormat="false" ht="18" hidden="false" customHeight="true" outlineLevel="0" collapsed="false">
      <c r="B21" s="8" t="s">
        <v>35</v>
      </c>
      <c r="C21" s="12" t="n">
        <v>0</v>
      </c>
      <c r="D21" s="10" t="s">
        <v>34</v>
      </c>
    </row>
    <row r="22" customFormat="false" ht="18" hidden="false" customHeight="true" outlineLevel="0" collapsed="false">
      <c r="B22" s="8" t="s">
        <v>36</v>
      </c>
      <c r="C22" s="12" t="n">
        <v>0</v>
      </c>
      <c r="D22" s="10" t="s">
        <v>37</v>
      </c>
    </row>
    <row r="23" customFormat="false" ht="18" hidden="false" customHeight="true" outlineLevel="0" collapsed="false">
      <c r="B23" s="13" t="s">
        <v>38</v>
      </c>
      <c r="C23" s="14" t="n">
        <f aca="false">C20+C21+C22</f>
        <v>0</v>
      </c>
      <c r="D23" s="15" t="s">
        <v>39</v>
      </c>
    </row>
    <row r="24" customFormat="false" ht="6" hidden="false" customHeight="true" outlineLevel="0" collapsed="false"/>
    <row r="25" customFormat="false" ht="21.75" hidden="false" customHeight="true" outlineLevel="0" collapsed="false">
      <c r="B25" s="7" t="s">
        <v>40</v>
      </c>
      <c r="C25" s="7"/>
      <c r="D25" s="7"/>
    </row>
    <row r="26" customFormat="false" ht="18" hidden="false" customHeight="true" outlineLevel="0" collapsed="false">
      <c r="B26" s="8" t="s">
        <v>41</v>
      </c>
      <c r="C26" s="9"/>
    </row>
    <row r="27" customFormat="false" ht="18" hidden="false" customHeight="true" outlineLevel="0" collapsed="false">
      <c r="B27" s="8" t="s">
        <v>42</v>
      </c>
      <c r="C27" s="9"/>
      <c r="D27" s="10" t="s">
        <v>43</v>
      </c>
    </row>
    <row r="28" customFormat="false" ht="18" hidden="false" customHeight="true" outlineLevel="0" collapsed="false">
      <c r="B28" s="8" t="s">
        <v>44</v>
      </c>
      <c r="C28" s="9"/>
      <c r="D28" s="10" t="s">
        <v>45</v>
      </c>
    </row>
    <row r="29" customFormat="false" ht="18" hidden="false" customHeight="true" outlineLevel="0" collapsed="false">
      <c r="B29" s="8" t="s">
        <v>46</v>
      </c>
      <c r="C29" s="12"/>
      <c r="D29" s="10" t="s">
        <v>47</v>
      </c>
    </row>
    <row r="30" customFormat="false" ht="18" hidden="false" customHeight="true" outlineLevel="0" collapsed="false">
      <c r="B30" s="8" t="s">
        <v>48</v>
      </c>
      <c r="C30" s="12" t="n">
        <v>0</v>
      </c>
      <c r="D30" s="10" t="s">
        <v>49</v>
      </c>
    </row>
    <row r="31" customFormat="false" ht="18" hidden="false" customHeight="true" outlineLevel="0" collapsed="false">
      <c r="B31" s="8" t="s">
        <v>50</v>
      </c>
      <c r="C31" s="12" t="n">
        <v>0</v>
      </c>
      <c r="D31" s="10" t="s">
        <v>51</v>
      </c>
    </row>
    <row r="32" customFormat="false" ht="18" hidden="false" customHeight="true" outlineLevel="0" collapsed="false">
      <c r="B32" s="8" t="s">
        <v>52</v>
      </c>
      <c r="C32" s="12"/>
    </row>
    <row r="33" customFormat="false" ht="18" hidden="false" customHeight="true" outlineLevel="0" collapsed="false">
      <c r="B33" s="8" t="s">
        <v>53</v>
      </c>
      <c r="C33" s="11"/>
    </row>
    <row r="34" customFormat="false" ht="18" hidden="false" customHeight="true" outlineLevel="0" collapsed="false">
      <c r="B34" s="13" t="s">
        <v>54</v>
      </c>
      <c r="C34" s="14" t="n">
        <f aca="false">IF(C26="Yes",C29-C30,0)</f>
        <v>0</v>
      </c>
      <c r="D34" s="15" t="s">
        <v>55</v>
      </c>
    </row>
    <row r="35" customFormat="false" ht="18" hidden="false" customHeight="true" outlineLevel="0" collapsed="false">
      <c r="B35" s="13" t="s">
        <v>56</v>
      </c>
      <c r="C35" s="14" t="n">
        <f aca="false">IF(C26="Yes",C29-C30-C29*0.01,0)</f>
        <v>0</v>
      </c>
      <c r="D35" s="15" t="s">
        <v>57</v>
      </c>
    </row>
    <row r="36" customFormat="false" ht="6" hidden="false" customHeight="true" outlineLevel="0" collapsed="false"/>
    <row r="37" customFormat="false" ht="21.75" hidden="false" customHeight="true" outlineLevel="0" collapsed="false">
      <c r="B37" s="7" t="s">
        <v>58</v>
      </c>
      <c r="C37" s="7"/>
      <c r="D37" s="7"/>
    </row>
    <row r="38" customFormat="false" ht="18" hidden="false" customHeight="true" outlineLevel="0" collapsed="false">
      <c r="B38" s="8" t="s">
        <v>59</v>
      </c>
      <c r="C38" s="12" t="n">
        <v>0</v>
      </c>
      <c r="D38" s="10" t="s">
        <v>60</v>
      </c>
    </row>
    <row r="39" customFormat="false" ht="18" hidden="false" customHeight="true" outlineLevel="0" collapsed="false">
      <c r="B39" s="8" t="s">
        <v>61</v>
      </c>
      <c r="C39" s="12" t="n">
        <v>0</v>
      </c>
      <c r="D39" s="10" t="s">
        <v>23</v>
      </c>
    </row>
    <row r="40" customFormat="false" ht="18" hidden="false" customHeight="true" outlineLevel="0" collapsed="false">
      <c r="B40" s="8" t="s">
        <v>62</v>
      </c>
      <c r="C40" s="12" t="n">
        <v>0</v>
      </c>
    </row>
    <row r="41" customFormat="false" ht="18" hidden="false" customHeight="true" outlineLevel="0" collapsed="false">
      <c r="B41" s="8" t="s">
        <v>63</v>
      </c>
      <c r="C41" s="12" t="n">
        <v>0</v>
      </c>
      <c r="D41" s="10" t="s">
        <v>64</v>
      </c>
    </row>
    <row r="42" customFormat="false" ht="18" hidden="false" customHeight="true" outlineLevel="0" collapsed="false">
      <c r="B42" s="8" t="s">
        <v>65</v>
      </c>
      <c r="C42" s="12" t="n">
        <v>0</v>
      </c>
      <c r="D42" s="10" t="s">
        <v>34</v>
      </c>
    </row>
    <row r="43" customFormat="false" ht="18" hidden="false" customHeight="true" outlineLevel="0" collapsed="false">
      <c r="B43" s="13" t="s">
        <v>66</v>
      </c>
      <c r="C43" s="14" t="n">
        <f aca="false">C38+C39+C40+C41+C42+MAX(0,C37)</f>
        <v>0</v>
      </c>
      <c r="D43" s="15" t="s">
        <v>67</v>
      </c>
    </row>
    <row r="44" customFormat="false" ht="6" hidden="false" customHeight="true" outlineLevel="0" collapsed="false"/>
    <row r="45" customFormat="false" ht="21.75" hidden="false" customHeight="true" outlineLevel="0" collapsed="false">
      <c r="B45" s="7" t="s">
        <v>68</v>
      </c>
      <c r="C45" s="7"/>
      <c r="D45" s="7"/>
    </row>
    <row r="46" customFormat="false" ht="18" hidden="false" customHeight="true" outlineLevel="0" collapsed="false">
      <c r="B46" s="8" t="s">
        <v>69</v>
      </c>
      <c r="C46" s="9"/>
    </row>
    <row r="47" customFormat="false" ht="18" hidden="false" customHeight="true" outlineLevel="0" collapsed="false">
      <c r="B47" s="8" t="s">
        <v>70</v>
      </c>
      <c r="C47" s="9"/>
    </row>
    <row r="48" customFormat="false" ht="18" hidden="false" customHeight="true" outlineLevel="0" collapsed="false">
      <c r="B48" s="8" t="s">
        <v>71</v>
      </c>
      <c r="C48" s="9"/>
      <c r="D48" s="10" t="s">
        <v>72</v>
      </c>
    </row>
    <row r="49" customFormat="false" ht="18" hidden="false" customHeight="true" outlineLevel="0" collapsed="false">
      <c r="B49" s="8" t="s">
        <v>73</v>
      </c>
      <c r="C49" s="12"/>
      <c r="D49" s="10" t="s">
        <v>74</v>
      </c>
    </row>
    <row r="50" customFormat="false" ht="18" hidden="false" customHeight="true" outlineLevel="0" collapsed="false">
      <c r="B50" s="8" t="s">
        <v>75</v>
      </c>
      <c r="C50" s="16" t="n">
        <v>2000</v>
      </c>
      <c r="D50" s="10" t="s">
        <v>76</v>
      </c>
    </row>
    <row r="51" customFormat="false" ht="28.5" hidden="false" customHeight="true" outlineLevel="0" collapsed="false">
      <c r="B51" s="8" t="s">
        <v>77</v>
      </c>
      <c r="C51" s="17" t="n">
        <v>0.1</v>
      </c>
      <c r="D51" s="10" t="s">
        <v>78</v>
      </c>
    </row>
    <row r="52" customFormat="false" ht="18" hidden="false" customHeight="true" outlineLevel="0" collapsed="false">
      <c r="B52" s="8" t="s">
        <v>79</v>
      </c>
      <c r="C52" s="9"/>
      <c r="D52" s="10" t="s">
        <v>80</v>
      </c>
    </row>
    <row r="53" customFormat="false" ht="18" hidden="false" customHeight="true" outlineLevel="0" collapsed="false">
      <c r="B53" s="8" t="s">
        <v>81</v>
      </c>
      <c r="C53" s="9"/>
      <c r="D53" s="10" t="s">
        <v>82</v>
      </c>
    </row>
    <row r="54" customFormat="false" ht="18" hidden="false" customHeight="true" outlineLevel="0" collapsed="false">
      <c r="B54" s="8" t="s">
        <v>83</v>
      </c>
      <c r="C54" s="9"/>
      <c r="D54" s="10" t="s">
        <v>84</v>
      </c>
    </row>
    <row r="55" customFormat="false" ht="18" hidden="false" customHeight="true" outlineLevel="0" collapsed="false">
      <c r="B55" s="8" t="s">
        <v>85</v>
      </c>
      <c r="C55" s="9"/>
      <c r="D55" s="10" t="s">
        <v>86</v>
      </c>
    </row>
    <row r="56" customFormat="false" ht="6" hidden="false" customHeight="true" outlineLevel="0" collapsed="false"/>
    <row r="57" customFormat="false" ht="30" hidden="false" customHeight="true" outlineLevel="0" collapsed="false">
      <c r="B57" s="18" t="s">
        <v>87</v>
      </c>
      <c r="C57" s="18"/>
      <c r="D57" s="18"/>
    </row>
  </sheetData>
  <mergeCells count="9">
    <mergeCell ref="B2:D2"/>
    <mergeCell ref="B3:D3"/>
    <mergeCell ref="B5:D5"/>
    <mergeCell ref="B13:D13"/>
    <mergeCell ref="B19:D19"/>
    <mergeCell ref="B25:D25"/>
    <mergeCell ref="B37:D37"/>
    <mergeCell ref="B45:D45"/>
    <mergeCell ref="B57:D57"/>
  </mergeCells>
  <dataValidations count="8">
    <dataValidation allowBlank="true" error="Please select from the list" errorStyle="stop" errorTitle="Invalid Entry" operator="between" showDropDown="false" showErrorMessage="true" showInputMessage="false" sqref="C7" type="list">
      <formula1>"SC,PR,Foreigner"</formula1>
      <formula2>0</formula2>
    </dataValidation>
    <dataValidation allowBlank="true" error="Please select from the list" errorStyle="stop" errorTitle="Invalid Entry" operator="between" showDropDown="false" showErrorMessage="true" showInputMessage="false" sqref="C9" type="list">
      <formula1>"Single,Married,Divorced,Widowed"</formula1>
      <formula2>0</formula2>
    </dataValidation>
    <dataValidation allowBlank="true" error="Please select from the list" errorStyle="stop" errorTitle="Invalid Entry" operator="between" showDropDown="false" showErrorMessage="true" showInputMessage="false" sqref="C10" type="list">
      <formula1>"Yes,No"</formula1>
      <formula2>0</formula2>
    </dataValidation>
    <dataValidation allowBlank="true" error="Please select from the list" errorStyle="stop" errorTitle="Invalid Entry" operator="between" showDropDown="false" showErrorMessage="true" showInputMessage="false" sqref="C26" type="list">
      <formula1>"Yes,No"</formula1>
      <formula2>0</formula2>
    </dataValidation>
    <dataValidation allowBlank="true" error="Please select from the list" errorStyle="stop" errorTitle="Invalid Entry" operator="between" showDropDown="false" showErrorMessage="true" showInputMessage="false" sqref="C27" type="list">
      <formula1>"HDB 2-Room,HDB 3-Room,HDB 4-Room,HDB 5-Room,HDB Executive,EC,Private Condo,Landed,None"</formula1>
      <formula2>0</formula2>
    </dataValidation>
    <dataValidation allowBlank="true" error="Please select from the list" errorStyle="stop" errorTitle="Invalid Entry" operator="between" showDropDown="false" showErrorMessage="true" showInputMessage="false" sqref="C46" type="list">
      <formula1>"Sell HDB → Buy Condo,Buy 1st Investment (SC),Status Quo vs Upgrade,Sell 1 → Buy 2,HDB to HDB"</formula1>
      <formula2>0</formula2>
    </dataValidation>
    <dataValidation allowBlank="true" error="Please select from the list" errorStyle="stop" errorTitle="Invalid Entry" operator="between" showDropDown="false" showErrorMessage="true" showInputMessage="false" sqref="C47" type="list">
      <formula1>"Own Stay,Pure Investment (Rental),Own Stay + Investment"</formula1>
      <formula2>0</formula2>
    </dataValidation>
    <dataValidation allowBlank="true" error="Please select from the list" errorStyle="stop" errorTitle="Invalid Entry" operator="between" showDropDown="false" showErrorMessage="true" showInputMessage="false" sqref="C48" type="list">
      <formula1>"Conservative,Balanced,Aggressive"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2026-04-11T14:08:27Z</dcterms:created>
  <dc:creator>openpyxl</dc:creator>
  <dc:description/>
  <dc:language>en-US</dc:language>
  <cp:lastModifiedBy/>
  <dcterms:modified xsi:type="dcterms:W3CDTF">2026-04-11T14:08:27Z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